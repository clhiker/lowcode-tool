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汇总表"/>
    <sheet r:id="rId2" sheetId="2" name="全文字"/>
  </sheets>
  <calcPr fullCalcOnLoad="1"/>
</workbook>
</file>

<file path=xl/sharedStrings.xml><?xml version="1.0" encoding="utf-8"?>
<sst xmlns="http://schemas.openxmlformats.org/spreadsheetml/2006/main" count="1094" uniqueCount="363">
  <si>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</si>
  <si>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</si>
  <si>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</si>
  <si>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</si>
  <si>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</si>
  <si>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</si>
  <si>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</si>
  <si>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</si>
  <si>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</si>
  <si>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</si>
  <si>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</si>
  <si>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</si>
  <si>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</si>
  <si>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</si>
  <si>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</si>
  <si>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</si>
  <si>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</si>
  <si>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</si>
  <si>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</si>
  <si>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</si>
  <si>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</si>
  <si>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</si>
  <si>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</si>
  <si>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</si>
  <si>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</si>
  <si>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</si>
  <si>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</si>
  <si>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</si>
  <si>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</si>
  <si>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</si>
  <si>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</si>
  <si>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</si>
  <si>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</si>
  <si>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</si>
  <si>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</si>
  <si>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</si>
  <si>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</si>
  <si>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</si>
  <si>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</si>
  <si>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</si>
  <si>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</si>
  <si>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>新增列1</t>
  </si>
  <si>
    <t>新增列2</t>
  </si>
  <si>
    <t>NodeRed模板</t>
  </si>
  <si>
    <t>json</t>
  </si>
  <si>
    <t>NodeRed</t>
  </si>
  <si>
    <t>原生模板</t>
  </si>
  <si>
    <t>智慧健康</t>
  </si>
  <si>
    <t>设备发现</t>
  </si>
  <si>
    <t>陈乐</t>
  </si>
  <si>
    <t>实现mDNS、UPnP和网络扫描等功能的WiFi设备自动发现与集成，支持HTTP通信及设备管理。</t>
  </si>
  <si>
    <t>json_nodered_smart_health.tar.gz</t>
  </si>
  <si>
    <t>1.json</t>
  </si>
  <si>
    <t>The-CosmicX/Node-Development</t>
  </si>
  <si>
    <t>https://github.com/The-CosmicX/Node-Development/blob/84dc30fc33a59068de0619d7915bb7bbd8c8f44f/flows/flows-with-microservices-fixed.json</t>
  </si>
  <si>
    <t>I6531 物联网技术服务</t>
  </si>
  <si>
    <t>集成模板</t>
  </si>
  <si>
    <t>设备发现与集成</t>
  </si>
  <si>
    <t>实现mDNS、UPnP和网络扫描等技术的WiFi设备自动发现及管理，支持HTTP通信和设备控制。</t>
  </si>
  <si>
    <t>2.json</t>
  </si>
  <si>
    <t>https://github.com/The-CosmicX/Node-Development/blob/84dc30fc33a59068de0619d7915bb7bbd8c8f44f/current-flows-debug.json</t>
  </si>
  <si>
    <t>提供mDNS、UPnP和网络扫描等功能的WiFi设备发现与集成，支持HTTP通信及设备管理。</t>
  </si>
  <si>
    <t>3.json</t>
  </si>
  <si>
    <t>https://github.com/The-CosmicX/Node-Development/blob/84dc30fc33a59068de0619d7915bb7bbd8c8f44f/archives/backups/system/authentication-integration-20250706-120248/flows-backup.json</t>
  </si>
  <si>
    <t>实现mDNS、UPnP及网络扫描等技术的WiFi设备自动发现与集成，支持HTTP通信和设备管理。</t>
  </si>
  <si>
    <t>4.json</t>
  </si>
  <si>
    <t>https://github.com/The-CosmicX/Node-Development/blob/84dc30fc33a59068de0619d7915bb7bbd8c8f44f/flows/flows-backup-completion-2025-07-04T08-42-56-716Z.json</t>
  </si>
  <si>
    <t>自动化控制</t>
  </si>
  <si>
    <t>基于运动检测的自动灯光控制及增强版仪表盘界面，用于监控和操作。</t>
  </si>
  <si>
    <t>5.json</t>
  </si>
  <si>
    <t>auliamghfr/smarthome_mqtt</t>
  </si>
  <si>
    <t>https://github.com/auliamghfr/smarthome_mqtt/blob/68ba67aa932f11f62c01a28baa5848e3c0a2c529/complete-flow.json</t>
  </si>
  <si>
    <t>业务流模板</t>
  </si>
  <si>
    <t>支持mDNS、UPnP、SSDP发现，网络扫描和HTTP通信的WiFi设备发现及管理机制。</t>
  </si>
  <si>
    <t>6.json</t>
  </si>
  <si>
    <t>https://github.com/The-CosmicX/Node-Development/blob/84dc30fc33a59068de0619d7915bb7bbd8c8f44f/cosmicx-backup-20250706-143003/flows/flows-backup-before-microservices-integration-20250706-111532.json</t>
  </si>
  <si>
    <t>支持mDNS、UPnP和网络扫描的WiFi设备发现与集成，实现HTTP通信及设备管理。</t>
  </si>
  <si>
    <t>7.json</t>
  </si>
  <si>
    <t>https://github.com/The-CosmicX/Node-Development/blob/84dc30fc33a59068de0619d7915bb7bbd8c8f44f/flows/flows-backup-enhanced-20250629-165636.json</t>
  </si>
  <si>
    <t>设备初始化</t>
  </si>
  <si>
    <t>通过注入节点定期触发函数节点加载和初始化设备注册表，利用Mosquitto MQTT Broker进行通信。</t>
  </si>
  <si>
    <t>8.json</t>
  </si>
  <si>
    <t>https://github.com/The-CosmicX/Node-Development/blob/84dc30fc33a59068de0619d7915bb7bbd8c8f44f/flows/flows-backup-syntax-fix-20250629-104134.json</t>
  </si>
  <si>
    <t>脚手架模板</t>
  </si>
  <si>
    <t>实现mDNS/Bonjour、UPnP/SSDP发现及网络扫描，支持HTTP/HTTPS通信和设备管理的WiFi设备集成工具。</t>
  </si>
  <si>
    <t>9.json</t>
  </si>
  <si>
    <t>https://github.com/The-CosmicX/Node-Development/blob/84dc30fc33a59068de0619d7915bb7bbd8c8f44f/cosmicx-backup-20250706-143003/flows/flows-backup-syntax-fix.json</t>
  </si>
  <si>
    <t>提供基于mDNS、UPnP和网络扫描的WiFi设备发现与集成，支持HTTP通信及设备管理。</t>
  </si>
  <si>
    <t>10.json</t>
  </si>
  <si>
    <t>https://github.com/The-CosmicX/Node-Development/blob/84dc30fc33a59068de0619d7915bb7bbd8c8f44f/cosmicx-backup-20250706-143003/flows/flows-backup-api-expansion-20250701-173510.json</t>
  </si>
  <si>
    <t>定时请求</t>
  </si>
  <si>
    <t>每小时触发一次注入节点，生成当前日期作为负载，并将其传递给HTTP请求节点发送POST请求。</t>
  </si>
  <si>
    <t>11.json</t>
  </si>
  <si>
    <t>commscope-ruckus/RUCKUS-SmartZone-Node-RED</t>
  </si>
  <si>
    <t>https://github.com/commscope-ruckus/RUCKUS-SmartZone-Node-RED/blob/920bffc72fdf2dc70e051eb324f9d0f7b9884aff/SmartZone%20GUI/SmartZone%201.3%20GUI.json</t>
  </si>
  <si>
    <t>I6513 应用软件开发</t>
  </si>
  <si>
    <t>定时任务模板</t>
  </si>
  <si>
    <t>支持mDNS、UPnP等多种协议的WiFi设备发现与集成，提供网络扫描及HTTP通信等功能。</t>
  </si>
  <si>
    <t>12.json</t>
  </si>
  <si>
    <t>https://github.com/The-CosmicX/Node-Development/blob/84dc30fc33a59068de0619d7915bb7bbd8c8f44f/archives/backups/system/phase1-commercial-20250702-201446/flows-backup.json</t>
  </si>
  <si>
    <t>支持mDNS、UPnP、SSDP等多种协议的WiFi设备发现和网络扫描，提供HTTP通信及设备管理功能。</t>
  </si>
  <si>
    <t>13.json</t>
  </si>
  <si>
    <t>https://github.com/The-CosmicX/Node-Development/blob/84dc30fc33a59068de0619d7915bb7bbd8c8f44f/archives/backups/system/websocket-final-fix-20250706-123738/flows-backup.json</t>
  </si>
  <si>
    <t>提供mDNS/Bonjour、UPnP/SSDP发现，网络扫描及HTTP/HTTPS通信的WiFi设备发现和管理功能。</t>
  </si>
  <si>
    <t>14.json</t>
  </si>
  <si>
    <t>https://github.com/The-CosmicX/Node-Development/blob/84dc30fc33a59068de0619d7915bb7bbd8c8f44f/archives/backups/system/commercial-apis-deployment-20250701-175037/flows-backup.json</t>
  </si>
  <si>
    <t>WiFi扫描</t>
  </si>
  <si>
    <t>接收POST请求进行WiFi网络扫描，并处理返回的WiFi网络信息，包括SSID、BSSID等参数。</t>
  </si>
  <si>
    <t>15.json</t>
  </si>
  <si>
    <t>https://github.com/The-CosmicX/Node-Development/blob/84dc30fc33a59068de0619d7915bb7bbd8c8f44f/apis/phase2/phase2-protocol-specific-api.json</t>
  </si>
  <si>
    <t>数据模板</t>
  </si>
  <si>
    <t>设备注册</t>
  </si>
  <si>
    <t>初始化Cosmo Hub API的设备注册表，每60秒自动注入一次数据以保持更新。</t>
  </si>
  <si>
    <t>16.json</t>
  </si>
  <si>
    <t>https://github.com/The-CosmicX/Node-Development/blob/84dc30fc33a59068de0619d7915bb7bbd8c8f44f/cosmicx-backup-20250706-143003/flows/flows-backup-complete-20250629-101504.json</t>
  </si>
  <si>
    <t>配置模板</t>
  </si>
  <si>
    <t>HA配置处理</t>
  </si>
  <si>
    <t>接收Home Assistant设置请求，解析并存储MQTT主机、端口、发现前缀和实体前缀等参数，启用Home Assistant集成。</t>
  </si>
  <si>
    <t>17.json</t>
  </si>
  <si>
    <t>https://github.com/The-CosmicX/Node-Development/blob/84dc30fc33a59068de0619d7915bb7bbd8c8f44f/apis/enhanced/enhanced-platform-integrations-api.json</t>
  </si>
  <si>
    <t>支持mDNS、UPnP、SSDP发现及网络扫描，实现HTTP通信和设备管理的WiFi设备发现与集成工具。</t>
  </si>
  <si>
    <t>18.json</t>
  </si>
  <si>
    <t>https://github.com/The-CosmicX/Node-Development/blob/84dc30fc33a59068de0619d7915bb7bbd8c8f44f/cosmicx-backup-20250706-143003/flows/flows-backup-completion-2025-07-04T08-42-56-716Z.json</t>
  </si>
  <si>
    <t>环境监控</t>
  </si>
  <si>
    <t>ESP32温度传感器数据通过MQTT协议传输并实时显示在温度仪表盘上。</t>
  </si>
  <si>
    <t>19.json</t>
  </si>
  <si>
    <t>Eruumaa/Pneuma</t>
  </si>
  <si>
    <t>https://github.com/Eruumaa/Pneuma/blob/19418c2c335da7322bbbf0e1aed762c5d9dc8fdb/src/node-red.json</t>
  </si>
  <si>
    <t>数据大屏模板</t>
  </si>
  <si>
    <t>图片数据库存储</t>
  </si>
  <si>
    <t>用于保存城市图片URL到数据库的子流程，通过输入的城市信息获取对应的图片链接并存入数据库中。</t>
  </si>
  <si>
    <t>20.json</t>
  </si>
  <si>
    <t>manouslinard/smart-city-app</t>
  </si>
  <si>
    <t>https://github.com/manouslinard/smart-city-app/blob/659139e70aafa7758d978609c0bde30006c5991a/subflows/gui.json</t>
  </si>
  <si>
    <t>智能设备集成</t>
  </si>
  <si>
    <t>提供Zigbee设备发现、配对及控制，支持WiFi设备的mDNS/Bonjour和UPnP/SSDP发现以及HTTP/HTTPS通信等功能。</t>
  </si>
  <si>
    <t>21.json</t>
  </si>
  <si>
    <t>https://github.com/The-CosmicX/Node-Development/blob/84dc30fc33a59068de0619d7915bb7bbd8c8f44f/flows/flows-backup-before-microservices.json</t>
  </si>
  <si>
    <t>6540 信息技术咨询服务</t>
  </si>
  <si>
    <t>支持mDNS、UPnP和网络扫描的WiFi设备发现及管理，包括HTTP通信和设备控制功能。</t>
  </si>
  <si>
    <t>22.json</t>
  </si>
  <si>
    <t>https://github.com/The-CosmicX/Node-Development/blob/84dc30fc33a59068de0619d7915bb7bbd8c8f44f/archives/backups/system/commercial-apis-deployment-20250701-175224/flows-backup.json</t>
  </si>
  <si>
    <t>设备集成</t>
  </si>
  <si>
    <t>提供Cosmo Hub REST API、自动化规则处理、API文档展示、Zigbee设备控制和WiFi设备发现等功能，实现多种协议下的智能设备无缝接入与管理。</t>
  </si>
  <si>
    <t>23.json</t>
  </si>
  <si>
    <t>https://github.com/The-CosmicX/Node-Development/blob/84dc30fc33a59068de0619d7915bb7bbd8c8f44f/backups/flows-backup-pre-refactoring-20250712-150518.json</t>
  </si>
  <si>
    <t>水质监测仿真</t>
  </si>
  <si>
    <t>初始化并配置扩展设备状态与参数，启动水质监测系统的仿真过程。</t>
  </si>
  <si>
    <t>24.json</t>
  </si>
  <si>
    <t>VEBST3R/water-monitoring-app</t>
  </si>
  <si>
    <t>https://github.com/VEBST3R/water-monitoring-app/blob/cbcbdcc35a63cfc640e12935e00e56c6becc8751/.node-red/flows.json</t>
  </si>
  <si>
    <t>7461 环境监测</t>
  </si>
  <si>
    <t>通过定时注入节点触发函数加载设备注册表，定期更新并管理设备信息。</t>
  </si>
  <si>
    <t>25.json</t>
  </si>
  <si>
    <t>https://github.com/The-CosmicX/Node-Development/blob/84dc30fc33a59068de0619d7915bb7bbd8c8f44f/flows/flows-backup-protocol-fix-20250629-102643.json</t>
  </si>
  <si>
    <t>智能门感</t>
  </si>
  <si>
    <t>接收并展示家庭装甲门传感器的MQTT消息状态，通过UI文本组件实时显示门的状态。</t>
  </si>
  <si>
    <t>26.json</t>
  </si>
  <si>
    <t>raffato01/IOT_Raffaghelo_Polizzi</t>
  </si>
  <si>
    <t>https://github.com/raffato01/IOT_Raffaghelo_Polizzi/blob/4c49ebe58506743ddbdd8f5d574cd94644caf0c4/flows_raffaghello_polizzi.json</t>
  </si>
  <si>
    <t>组件模板</t>
  </si>
  <si>
    <t>通过注入节点定期执行设备注册器加载函数，用于初始化Cosmo Hub中的设备注册表，并设置定时刷新机制。</t>
  </si>
  <si>
    <t>27.json</t>
  </si>
  <si>
    <t>https://github.com/The-CosmicX/Node-Development/blob/84dc30fc33a59068de0619d7915bb7bbd8c8f44f/flows/flows-backup-security-20250629-110551.json</t>
  </si>
  <si>
    <t>数据输入</t>
  </si>
  <si>
    <t>配置智能设备FT 6050 LUX的数据输入接口，订阅主题为glp/+/+/ev/data的物联网消息，并设置自动解析数据类型与固定刷新周期。</t>
  </si>
  <si>
    <t>28.json</t>
  </si>
  <si>
    <t>izot/smartserver-iot</t>
  </si>
  <si>
    <t>https://github.com/izot/smartserver-iot/blob/29856c0b2e369606012a489bc866921df27abcc6/starter-kit/Node-RED%20Examples/StarterKit%20Dashboard/StarterKit_NodeRed_fixedDps_webflow_02_11_21.json</t>
  </si>
  <si>
    <t>数据连接模板</t>
  </si>
  <si>
    <t>通过MQTT Broker连接触发，定时注入设备注册信息至函数节点以加载和维护设备注册表。</t>
  </si>
  <si>
    <t>29.json</t>
  </si>
  <si>
    <t>https://github.com/The-CosmicX/Node-Development/blob/84dc30fc33a59068de0619d7915bb7bbd8c8f44f/cosmicx-backup-20250706-143003/flows/flows-backup-syntax-fix-20250629-104134.json</t>
  </si>
  <si>
    <t>界面配置</t>
  </si>
  <si>
    <t>定义用户界面的布局与主题，包括仪表板和基础样式设置。</t>
  </si>
  <si>
    <t>30.json</t>
  </si>
  <si>
    <t>2002-shashank/smart_health_monitor</t>
  </si>
  <si>
    <t>https://github.com/2002-shashank/smart_health_monitor/blob/a9c24034676ee192f703ce18cba94cde2b8ca8ee/flows_smart_health_monitor.json</t>
  </si>
  <si>
    <t>主题模板</t>
  </si>
  <si>
    <t>通过MQTT Broker连接与Cosmo Hub API交互，定时注入信号以加载并初始化设备注册表。</t>
  </si>
  <si>
    <t>31.json</t>
  </si>
  <si>
    <t>https://github.com/The-CosmicX/Node-Development/blob/84dc30fc33a59068de0619d7915bb7bbd8c8f44f/flows/flows-backup-final-fix-20250629-112344.json</t>
  </si>
  <si>
    <t>通过Cosmo Hub API注入设备注册信息并加载设备注册表，定期执行以保持设备列表更新。</t>
  </si>
  <si>
    <t>32.json</t>
  </si>
  <si>
    <t>https://github.com/The-CosmicX/Node-Development/blob/84dc30fc33a59068de0619d7915bb7bbd8c8f44f/archives/backups/system/phase4.2-week3/flows-backup-20250629-142642.json</t>
  </si>
  <si>
    <t>健康检查</t>
  </si>
  <si>
    <t>接收GET请求并调用上游服务进行健康状态检测，确认系统运行正常。</t>
  </si>
  <si>
    <t>33.json</t>
  </si>
  <si>
    <t>itsmevjnk/ptticket</t>
  </si>
  <si>
    <t>https://github.com/itsmevjnk/ptticket/blob/f050f96c01c1eefef1e5d26c5ac2d26477ccafd4/ptticket-sc-vending/flows.json</t>
  </si>
  <si>
    <t>提供mDNS、UPnP、SSDP等协议的WiFi设备自动发现及管理，支持HTTP通信与网络扫描。</t>
  </si>
  <si>
    <t>34.json</t>
  </si>
  <si>
    <t>https://github.com/The-CosmicX/Node-Development/blob/84dc30fc33a59068de0619d7915bb7bbd8c8f44f/cosmicx-backup-20250706-143003/flows/flows-backup-before-microservices.json</t>
  </si>
  <si>
    <t>通过定时注入节点发起设备注册流程，调用函数加载并初始化空的设备注册表。</t>
  </si>
  <si>
    <t>35.json</t>
  </si>
  <si>
    <t>https://github.com/The-CosmicX/Node-Development/blob/84dc30fc33a59068de0619d7915bb7bbd8c8f44f/flows/flows-backup-complete-20250629-101504.json</t>
  </si>
  <si>
    <t>数据读取</t>
  </si>
  <si>
    <t>用于订阅和解析来自特定设备的数据流，自动处理亮度传感器信息并周期性地进行轮询更新。</t>
  </si>
  <si>
    <t>36.json</t>
  </si>
  <si>
    <t>https://github.com/izot/smartserver-iot/blob/29856c0b2e369606012a489bc866921df27abcc6/node-red/dashboards/StarterKit%20Dashboard/StarterKit_NodeRed_fixedDps_webflow_02_11_21.json</t>
  </si>
  <si>
    <t>配置加载与调度</t>
  </si>
  <si>
    <t>读取并验证模式配置文件，根据优先级解析活动模式，并基于边依赖进行计划调度及告警路由决策。</t>
  </si>
  <si>
    <t>37.json</t>
  </si>
  <si>
    <t>Dantyk/smarthome</t>
  </si>
  <si>
    <t>https://github.com/Dantyk/smarthome/blob/413b686fac869126cffaccd7e066583fd99b91c8/flows/nodered/flows.json</t>
  </si>
  <si>
    <t>流程控制</t>
  </si>
  <si>
    <t>提供多个流程选项，支持子流程嵌套和禁用特定流程。</t>
  </si>
  <si>
    <t>38.json</t>
  </si>
  <si>
    <t>s282133/SmartHealth</t>
  </si>
  <si>
    <t>https://github.com/s282133/SmartHealth/blob/43607a3e37ef5d3889ef09519aa8108b8e33efd0/NodeRed/flows.json</t>
  </si>
  <si>
    <t>智能日志</t>
  </si>
  <si>
    <t>全面的日志记录系统，使用SQLite数据库进行数据分析和报告，适用于ESP32智能家居系统。</t>
  </si>
  <si>
    <t>39.json</t>
  </si>
  <si>
    <t>jalilrohi1/SmartHomeSimulation</t>
  </si>
  <si>
    <t>https://github.com/jalilrohi1/SmartHomeSimulation/blob/77214ed0fb76b53a4670364ef459541cc3f585b0/nodredFlows/Allflows_7-july-2025.json</t>
  </si>
  <si>
    <t>日志模板</t>
  </si>
  <si>
    <t>权限认证</t>
  </si>
  <si>
    <t>读取全局授权令牌并将其添加到请求头中，以确保对受保护端点的安全访问，同时更新节点状态显示当前请求信息。</t>
  </si>
  <si>
    <t>40.json</t>
  </si>
  <si>
    <t>josaraviam/ordinary4thRevolution</t>
  </si>
  <si>
    <t>https://github.com/josaraviam/ordinary4thRevolution/blob/e6076300357bef6658cb073f17f985d0c40ca0b5/flows/health_monitoring.json</t>
  </si>
  <si>
    <t>单点登录模板</t>
  </si>
  <si>
    <t>智能仪表盘</t>
  </si>
  <si>
    <t>SmartChill系统提供用户认证与多界面管理，支持通知和控制客户端配置。</t>
  </si>
  <si>
    <t>41.json</t>
  </si>
  <si>
    <t>AlexDuchaine19/SmartChill</t>
  </si>
  <si>
    <t>https://github.com/AlexDuchaine19/SmartChill/blob/ac8d02e90fc6b6da5419b323ca39b0dda4f390a1/nodered_data/projects/SmartChill/flows.json</t>
  </si>
  <si>
    <t>6513 应用软件开发</t>
  </si>
  <si>
    <t>图表模板</t>
  </si>
  <si>
    <t>通过Cosmo Hub API注入设备注册信息，并定期每60秒调用一次，用于加载和管理设备注册表。</t>
  </si>
  <si>
    <t>42.json</t>
  </si>
  <si>
    <t>https://github.com/The-CosmicX/Node-Development/blob/84dc30fc33a59068de0619d7915bb7bbd8c8f44f/cosmicx-backup-20250706-143003/flows/flows-backup-auth-fix-20250629-111711.json</t>
  </si>
  <si>
    <t>初始化设备注册表，周期性注入数据并调用设备注册函数。</t>
  </si>
  <si>
    <t>43.json</t>
  </si>
  <si>
    <t>https://github.com/The-CosmicX/Node-Development/blob/84dc30fc33a59068de0619d7915bb7bbd8c8f44f/flows/flows-backup-final-fixes-20250629-103617.json</t>
  </si>
  <si>
    <t>数据处理</t>
  </si>
  <si>
    <t>解析MQTT传感器主题信息并提取节点ID和传感器类型，添加时间戳后存储至流程上下文中用于规则应用。</t>
  </si>
  <si>
    <t>44.json</t>
  </si>
  <si>
    <t>ali-zargari/olympus-sim</t>
  </si>
  <si>
    <t>https://github.com/ali-zargari/olympus-sim/blob/68549364345bae5a8539793af1d302361977a11f/infra/nodered/flows.json</t>
  </si>
  <si>
    <t>支持mDNS/Bonjour、UPnP/SSDP发现，网络扫描及HTTP/HTTPS通信的WiFi设备发现和管理平台。</t>
  </si>
  <si>
    <t>45.json</t>
  </si>
  <si>
    <t>https://github.com/The-CosmicX/Node-Development/blob/84dc30fc33a59068de0619d7915bb7bbd8c8f44f/flows/flows-backup-before-microservices-integration-20250706-111532.json</t>
  </si>
  <si>
    <t>支持mDNS、UPnP及网络扫描的WiFi设备发现和集成，提供HTTP通信与设备管理功能。</t>
  </si>
  <si>
    <t>46.json</t>
  </si>
  <si>
    <t>https://github.com/The-CosmicX/Node-Development/blob/84dc30fc33a59068de0619d7915bb7bbd8c8f44f/cosmicx-backup-20250706-143003/flows/flows-with-microservices-fixed.json</t>
  </si>
  <si>
    <t>课程监控</t>
  </si>
  <si>
    <t>提供自动化的每日监控和数据初始化加载，支持课程管理与自动化ETL流程调度。</t>
  </si>
  <si>
    <t>47.json</t>
  </si>
  <si>
    <t>Sai-04021210/university-course-monitor</t>
  </si>
  <si>
    <t>https://github.com/Sai-04021210/university-course-monitor/blob/602db94b1dae8ea4234e465ed07f8d9aa85aa0a5/workspace/flows.json</t>
  </si>
  <si>
    <t>8393 技能培训、教育辅助及其他教育</t>
  </si>
  <si>
    <t>项目信息</t>
  </si>
  <si>
    <t>提供项目事件的功能性信息和提醒，仅供文档参考，不包含任何影响整体项目的功能性流程，在产品发布前需移除所有内部开发注释。</t>
  </si>
  <si>
    <t>48.json</t>
  </si>
  <si>
    <t>surfd4wg/radarblip</t>
  </si>
  <si>
    <t>https://github.com/surfd4wg/radarblip/blob/07af3bbb76abbd1cee9b78bcee353b0a5379b9b9/flows.json</t>
  </si>
  <si>
    <t>7211 组织管理服务</t>
  </si>
  <si>
    <t>通知模板</t>
  </si>
  <si>
    <t>数字孪生</t>
  </si>
  <si>
    <t>构建智能工厂数字孪生项目，包括传感器部署与节点管理，利用Orion、MongoDB和Node-RED实现数据存储及订阅服务。</t>
  </si>
  <si>
    <t>49.json</t>
  </si>
  <si>
    <t>soujoudbouzoumita/digitaltwin</t>
  </si>
  <si>
    <t>https://github.com/soujoudbouzoumita/digitaltwin/blob/1d4163ef8de40f956985cb120684d8e793ec4afc/services/node-red/flows/context-flows.json</t>
  </si>
  <si>
    <t>初始化并加载设备注册表，定期注入设备信息以保持更新。</t>
  </si>
  <si>
    <t>50.json</t>
  </si>
  <si>
    <t>https://github.com/The-CosmicX/Node-Development/blob/84dc30fc33a59068de0619d7915bb7bbd8c8f44f/flows/flows-backup-auth-fix-20250629-111711.json</t>
  </si>
  <si>
    <t>提供mDNS、UPnP、SSDP等协议的WiFi设备发现，支持网络扫描和HTTP通信，并具备设备管理功能。</t>
  </si>
  <si>
    <t>51.json</t>
  </si>
  <si>
    <t>https://github.com/The-CosmicX/Node-Development/blob/84dc30fc33a59068de0619d7915bb7bbd8c8f44f/flows/flows-backup-api-expansion-20250701-173510.json</t>
  </si>
  <si>
    <t>通过Cosmo Hub API注入设备注册信息，定期每60秒执行一次以维护设备列表。</t>
  </si>
  <si>
    <t>52.json</t>
  </si>
  <si>
    <t>https://github.com/The-CosmicX/Node-Development/blob/84dc30fc33a59068de0619d7915bb7bbd8c8f44f/cosmicx-backup-20250706-143003/flows/flows-backup-final-fix-20250629-112344.json</t>
  </si>
  <si>
    <t>数据处理面板</t>
  </si>
  <si>
    <t>提供多个不同标签的数据处理界面，包括scale、Dashboard、Flow等模块的管理与操作。</t>
  </si>
  <si>
    <t>53.json</t>
  </si>
  <si>
    <t>olekanderp/Princip</t>
  </si>
  <si>
    <t>https://github.com/olekanderp/Princip/blob/4488bbee8625106d3dc4d18bd31babac2fc4664e/Poland/New_web_avto.json</t>
  </si>
  <si>
    <t>支持mDNS、UPnP和网络扫描的WiFi设备发现及管理，实现HTTP通信与设备控制</t>
  </si>
  <si>
    <t>54.json</t>
  </si>
  <si>
    <t>https://github.com/The-CosmicX/Node-Development/blob/84dc30fc33a59068de0619d7915bb7bbd8c8f44f/archives/backups/system/auth-extension-20250706-120747/flows-backup.json</t>
  </si>
  <si>
    <t>支持mDNS/Bonjour、UPnP/SSDP设备发现，提供网络扫描和HTTP/HTTPS通信，实现设备管理和自动配置。</t>
  </si>
  <si>
    <t>55.json</t>
  </si>
  <si>
    <t>https://github.com/The-CosmicX/Node-Development/blob/84dc30fc33a59068de0619d7915bb7bbd8c8f44f/archives/backups/system/critical-fix-20250712-132245/flows-before-critical-fix.json</t>
  </si>
  <si>
    <t>支持mDNS、UPnP、SSDP等协议的WiFi设备发现，提供HTTP通信和设备管理等功能。</t>
  </si>
  <si>
    <t>56.json</t>
  </si>
  <si>
    <t>https://github.com/The-CosmicX/Node-Development/blob/84dc30fc33a59068de0619d7915bb7bbd8c8f44f/cosmicx-backup-20250706-143003/flows/flows-with-microservices.json</t>
  </si>
  <si>
    <t>温度聚类</t>
  </si>
  <si>
    <t>利用通用函数Docker镜像中的kmeans算法对数据库中温度数据进行分组，输出当前日期的温度中心值，可以通过msg.payload.centroids获取。</t>
  </si>
  <si>
    <t>57.json</t>
  </si>
  <si>
    <t>https://github.com/manouslinard/smart-city-app/blob/659139e70aafa7758d978609c0bde30006c5991a/gui_res.json</t>
  </si>
  <si>
    <t>智能停车</t>
  </si>
  <si>
    <t>利用摄像头和距离传感器增强停车检测，改进后的仪表盘提供更佳用户体验。</t>
  </si>
  <si>
    <t>58.json</t>
  </si>
  <si>
    <t>ayoubnajjout/intelligent-parking-detection-system</t>
  </si>
  <si>
    <t>https://github.com/ayoubnajjout/intelligent-parking-detection-system/blob/7fe6ccfbd9cf3679c42139eeaf0bb91f640c4392/smart_garage_system.json</t>
  </si>
  <si>
    <t>MQTT发布</t>
  </si>
  <si>
    <t>通过MQTT协议向外发送数据，依赖于特定的微控制器和树莓派作为消息代理的环境。</t>
  </si>
  <si>
    <t>59.json</t>
  </si>
  <si>
    <t>SriSougandhika/Samsung-IoT</t>
  </si>
  <si>
    <t>https://github.com/SriSougandhika/Samsung-IoT/blob/8cbf9eba71f08eb58d4cda1fe4d5ffb56e9179e3/Basic_Flow.json</t>
  </si>
  <si>
    <t>消息模板</t>
  </si>
  <si>
    <t>设备发现集成</t>
  </si>
  <si>
    <t>实现通过mDNS、UPnP和网络扫描技术进行WiFi设备的自动发现与整合，支持设备管理和HTTP通信。</t>
  </si>
  <si>
    <t>60.json</t>
  </si>
  <si>
    <t>https://github.com/The-CosmicX/Node-Development/blob/84dc30fc33a59068de0619d7915bb7bbd8c8f44f/flows/flows-backup-syntax-fix.json</t>
  </si>
  <si>
    <t>通过MQTT Broker与Cosmo Hub API连接，周期性注入设备注册信息并调用函数加载设备 registry。</t>
  </si>
  <si>
    <t>61.json</t>
  </si>
  <si>
    <t>https://github.com/The-CosmicX/Node-Development/blob/84dc30fc33a59068de0619d7915bb7bbd8c8f44f/cosmicx-backup-20250706-143003/flows/flows-backup-final-fixes-20250629-103617.json</t>
  </si>
  <si>
    <t>6531 物联网技术服务</t>
  </si>
  <si>
    <t>初始化设备注册表并定期注入设备信息，通过Cosmo Hub API与mDNS进行设备管理和发现。</t>
  </si>
  <si>
    <t>62.json</t>
  </si>
  <si>
    <t>https://github.com/The-CosmicX/Node-Development/blob/84dc30fc33a59068de0619d7915bb7bbd8c8f44f/cosmicx-backup-20250706-143003/flows/flows-backup-protocol-fix-20250629-102643.json</t>
  </si>
  <si>
    <t>智能设备发现</t>
  </si>
  <si>
    <t>支持mDNS、UPnP和SSDP等协议的WiFi设备发现及集成，具备网络扫描与HTTP通信能力，提供全面的设备管理功能。</t>
  </si>
  <si>
    <t>63.json</t>
  </si>
  <si>
    <t>https://github.com/The-CosmicX/Node-Development/blob/84dc30fc33a59068de0619d7915bb7bbd8c8f44f/cosmicx-backup-20250706-143003/flows/flows-backup-enhanced-20250629-165636.json</t>
  </si>
  <si>
    <t>任务重启</t>
  </si>
  <si>
    <t>执行系统或服务的重启操作，确保其正常运行和稳定性保障。此流程接收输入并根据需要决定输出成功或失败的结果信号。</t>
  </si>
  <si>
    <t>64.json</t>
  </si>
  <si>
    <t>ozdeadmeat/DDC2</t>
  </si>
  <si>
    <t>https://github.com/ozdeadmeat/DDC2/blob/4df2669946b8be798a64b8024f393f442a0d7ab2/DDC2.json</t>
  </si>
  <si>
    <t>环境配置模板</t>
  </si>
  <si>
    <t>通过注入节点定期触发函数，加载和维护设备注册表，以确保Cosmo Hub API的正常运行。</t>
  </si>
  <si>
    <t>65.json</t>
  </si>
  <si>
    <t>https://github.com/The-CosmicX/Node-Development/blob/84dc30fc33a59068de0619d7915bb7bbd8c8f44f/cosmicx-backup-20250706-143003/flows/flows-backup-metrics-fix-20250629-105757.json</t>
  </si>
  <si>
    <t>AI接口测试</t>
  </si>
  <si>
    <t>通过注入和模板引擎生成请求数据，用于测试不同AI服务包的响应。</t>
  </si>
  <si>
    <t>66.json</t>
  </si>
  <si>
    <t>araobp/node-red-genai</t>
  </si>
  <si>
    <t>https://github.com/araobp/node-red-genai/blob/49c66749285f1597d47acd356e735e493820dd1b/flows/flows.json</t>
  </si>
  <si>
    <t>6512 人工智能应用软件开发</t>
  </si>
  <si>
    <t>测试数据模板</t>
  </si>
  <si>
    <t>智能门感应</t>
  </si>
  <si>
    <t>接收并显示装甲门传感器的JSON数据状态，通过MQTT协议进行通信。</t>
  </si>
  <si>
    <t>67.json</t>
  </si>
  <si>
    <t>Lucr3/IOT_Raffagello_Polizzi</t>
  </si>
  <si>
    <t>https://github.com/Lucr3/IOT_Raffagello_Polizzi/blob/bf6fb904f5ce82b41ea14970357f912e11d0d490/flows_raffaghello_polizzi.json</t>
  </si>
  <si>
    <t>实现通过mDNS/Bonjour、UPnP/SSDP进行WiFi设备发现，支持网络扫描及HTTP/HTTPS通信，提供全面的设备管理功能。</t>
  </si>
  <si>
    <t>68.json</t>
  </si>
  <si>
    <t>https://github.com/The-CosmicX/Node-Development/blob/84dc30fc33a59068de0619d7915bb7bbd8c8f44f/flows/flows-with-microservices.json</t>
  </si>
  <si>
    <t>提供mDNS/Bonjour、UPnP/SSDP发现，网络扫描和HTTP/HTTPS通信的WiFi设备发现及管理功能。</t>
  </si>
  <si>
    <t>69.json</t>
  </si>
  <si>
    <t>https://github.com/The-CosmicX/Node-Development/blob/84dc30fc33a59068de0619d7915bb7bbd8c8f44f/flows-complete-all-phases.json</t>
  </si>
  <si>
    <t>智能容量管理</t>
  </si>
  <si>
    <t>实现SmartZone区域容量管理和监控应用，提供系统配置注入和定时更新设置。</t>
  </si>
  <si>
    <t>70.json</t>
  </si>
  <si>
    <t>https://github.com/commscope-ruckus/RUCKUS-SmartZone-Node-RED/blob/920bffc72fdf2dc70e051eb324f9d0f7b9884aff/SmartZone%20Area%20Capacity%20Monitoring/SmartZone%20ACMM%20-%20Essentials%20Build%20(no%20EMail-SMS)%20-%2019-03-2021%20-%20v1b28.json</t>
  </si>
  <si>
    <t>通过定时注入节点触发函数加载和更新设备注册信息，实现Cosmo Hub API的初始设备注册流程。</t>
  </si>
  <si>
    <t>71.json</t>
  </si>
  <si>
    <t>https://github.com/The-CosmicX/Node-Development/blob/84dc30fc33a59068de0619d7915bb7bbd8c8f44f/cosmicx-backup-20250706-143003/flows/flows-backup-security-20250629-110551.json</t>
  </si>
  <si>
    <t>支持mDNS、UPnP和网络扫描的WiFi设备发现及管理，提供HTTP通信和设备控制能力。</t>
  </si>
  <si>
    <t>72.json</t>
  </si>
  <si>
    <t>https://github.com/The-CosmicX/Node-Development/blob/84dc30fc33a59068de0619d7915bb7bbd8c8f44f/archives/backups/system/websocket-fix-20250706-123205/flows-backup.json</t>
  </si>
  <si>
    <t>实现mDNS、UPnP和网络扫描的WiFi设备自动发现与集成，支持HTTP通信及设备管理。</t>
  </si>
  <si>
    <t>73.json</t>
  </si>
  <si>
    <t>https://github.com/The-CosmicX/Node-Development/blob/84dc30fc33a59068de0619d7915bb7bbd8c8f44f/cosmicx-backup-20250706-143003/flows/flows-backup-phase3-20250703-202105.json</t>
  </si>
  <si>
    <t>通过定时注入节点调用函数加载并初始化设备注册表，用于管理连接Mosquitto MQTT Broker的设备信息。</t>
  </si>
  <si>
    <t>74.json</t>
  </si>
  <si>
    <t>https://github.com/The-CosmicX/Node-Development/blob/84dc30fc33a59068de0619d7915bb7bbd8c8f44f/flows/flows-backup-metrics-fix-20250629-105757.json</t>
  </si>
  <si>
    <t>实现mDNS/Bonjour、UPnP/SSDP设备发现，支持网络扫描和HTTP/HTTPS通信的WiFi设备集成与管理。</t>
  </si>
  <si>
    <t>75.json</t>
  </si>
  <si>
    <t>https://github.com/The-CosmicX/Node-Development/blob/84dc30fc33a59068de0619d7915bb7bbd8c8f44f/flows/flows-backup-phase3-20250703-202105.json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</si>
</sst>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等线"/>
      <family val="2"/>
    </font>
    <font>
      <sz val="11"/>
      <color rgb="FF006100"/>
      <name val="等线"/>
      <family val="2"/>
    </font>
    <font>
      <sz val="11"/>
      <color rgb="FF9c5700"/>
      <name val="等线"/>
      <family val="2"/>
    </font>
    <font>
      <sz val="11"/>
      <color rgb="FF9c0006"/>
      <name val="等线"/>
      <family val="2"/>
    </font>
    <font>
      <sz val="11"/>
      <color rgb="FF000000"/>
      <name val="等线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0" borderId="2" applyBorder="1" fontId="5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6" applyFont="1" fillId="0" applyAlignment="1">
      <alignment horizontal="left"/>
    </xf>
    <xf xfId="0" numFmtId="14" applyNumberFormat="1" borderId="1" applyBorder="1" fontId="7" applyFont="1" fillId="0" applyAlignment="1">
      <alignment horizontal="right"/>
    </xf>
    <xf xfId="0" numFmtId="1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4" width="13.576428571428572" customWidth="1" bestFit="1"/>
    <col min="9" max="9" style="4" width="13.576428571428572" customWidth="1" bestFit="1"/>
    <col min="10" max="10" style="13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5" width="10.43357142857143" customWidth="1" bestFit="1"/>
    <col min="14" max="14" style="4" width="10.43357142857143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</cols>
  <sheetData>
    <row x14ac:dyDescent="0.25" r="1" customHeight="1" ht="2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7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/>
      <c r="T1" s="9"/>
      <c r="U1" s="1"/>
      <c r="V1" s="1"/>
      <c r="W1" s="1"/>
      <c r="X1" s="1"/>
      <c r="Y1" s="1" t="s">
        <v>41</v>
      </c>
      <c r="Z1" s="1" t="s">
        <v>42</v>
      </c>
    </row>
    <row x14ac:dyDescent="0.25" r="2" customHeight="1" ht="20.25">
      <c r="A2" s="10">
        <f>_xlfn.CONCAT("NodeRed-7-",TEXT(ROW()-1,"000000"))</f>
      </c>
      <c r="B2" s="1"/>
      <c r="C2" s="11" t="s">
        <v>43</v>
      </c>
      <c r="D2" s="11" t="s">
        <v>44</v>
      </c>
      <c r="E2" s="11" t="s">
        <v>45</v>
      </c>
      <c r="F2" s="11" t="s">
        <v>46</v>
      </c>
      <c r="G2" s="11" t="s">
        <v>47</v>
      </c>
      <c r="H2" s="1" t="s">
        <v>48</v>
      </c>
      <c r="I2" s="1" t="s">
        <v>49</v>
      </c>
      <c r="J2" s="12">
        <v>25569.33363425926</v>
      </c>
      <c r="K2" s="1" t="s">
        <v>50</v>
      </c>
      <c r="L2" s="1"/>
      <c r="M2" s="11" t="s">
        <v>51</v>
      </c>
      <c r="N2" s="1" t="s">
        <v>52</v>
      </c>
      <c r="O2" s="1"/>
      <c r="P2" s="1" t="s">
        <v>53</v>
      </c>
      <c r="Q2" s="1" t="s">
        <v>54</v>
      </c>
      <c r="R2" s="1"/>
      <c r="S2" s="1"/>
      <c r="T2" s="1"/>
      <c r="U2" s="1"/>
      <c r="V2" s="1"/>
      <c r="W2" s="1"/>
      <c r="X2" s="1"/>
      <c r="Y2" s="1" t="s">
        <v>55</v>
      </c>
      <c r="Z2" s="1" t="s">
        <v>56</v>
      </c>
    </row>
    <row x14ac:dyDescent="0.25" r="3" customHeight="1" ht="20.25">
      <c r="A3" s="10">
        <f>_xlfn.CONCAT("NodeRed-7-",TEXT(ROW()-1,"000000"))</f>
      </c>
      <c r="B3" s="1"/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" t="s">
        <v>57</v>
      </c>
      <c r="I3" s="1" t="s">
        <v>49</v>
      </c>
      <c r="J3" s="12">
        <v>25569.33363425926</v>
      </c>
      <c r="K3" s="1" t="s">
        <v>58</v>
      </c>
      <c r="L3" s="1"/>
      <c r="M3" s="11" t="s">
        <v>51</v>
      </c>
      <c r="N3" s="1" t="s">
        <v>59</v>
      </c>
      <c r="O3" s="1"/>
      <c r="P3" s="1" t="s">
        <v>53</v>
      </c>
      <c r="Q3" s="1" t="s">
        <v>60</v>
      </c>
      <c r="R3" s="1"/>
      <c r="S3" s="1"/>
      <c r="T3" s="1"/>
      <c r="U3" s="1"/>
      <c r="V3" s="1"/>
      <c r="W3" s="1"/>
      <c r="X3" s="1"/>
      <c r="Y3" s="1" t="s">
        <v>55</v>
      </c>
      <c r="Z3" s="1" t="s">
        <v>56</v>
      </c>
    </row>
    <row x14ac:dyDescent="0.25" r="4" customHeight="1" ht="20.25">
      <c r="A4" s="10">
        <f>_xlfn.CONCAT("NodeRed-7-",TEXT(ROW()-1,"000000"))</f>
      </c>
      <c r="B4" s="1"/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  <c r="H4" s="1" t="s">
        <v>48</v>
      </c>
      <c r="I4" s="1" t="s">
        <v>49</v>
      </c>
      <c r="J4" s="12">
        <v>25569.33363425926</v>
      </c>
      <c r="K4" s="1" t="s">
        <v>61</v>
      </c>
      <c r="L4" s="1"/>
      <c r="M4" s="11" t="s">
        <v>51</v>
      </c>
      <c r="N4" s="1" t="s">
        <v>62</v>
      </c>
      <c r="O4" s="1"/>
      <c r="P4" s="1" t="s">
        <v>53</v>
      </c>
      <c r="Q4" s="1" t="s">
        <v>63</v>
      </c>
      <c r="R4" s="1"/>
      <c r="S4" s="1"/>
      <c r="T4" s="1"/>
      <c r="U4" s="1"/>
      <c r="V4" s="1"/>
      <c r="W4" s="1"/>
      <c r="X4" s="1"/>
      <c r="Y4" s="1" t="s">
        <v>55</v>
      </c>
      <c r="Z4" s="1" t="s">
        <v>56</v>
      </c>
    </row>
    <row x14ac:dyDescent="0.25" r="5" customHeight="1" ht="20.25">
      <c r="A5" s="10">
        <f>_xlfn.CONCAT("NodeRed-7-",TEXT(ROW()-1,"000000"))</f>
      </c>
      <c r="B5" s="1"/>
      <c r="C5" s="11" t="s">
        <v>43</v>
      </c>
      <c r="D5" s="11" t="s">
        <v>44</v>
      </c>
      <c r="E5" s="11" t="s">
        <v>45</v>
      </c>
      <c r="F5" s="11" t="s">
        <v>46</v>
      </c>
      <c r="G5" s="11" t="s">
        <v>47</v>
      </c>
      <c r="H5" s="1" t="s">
        <v>48</v>
      </c>
      <c r="I5" s="1" t="s">
        <v>49</v>
      </c>
      <c r="J5" s="12">
        <v>25569.33363425926</v>
      </c>
      <c r="K5" s="1" t="s">
        <v>64</v>
      </c>
      <c r="L5" s="1"/>
      <c r="M5" s="11" t="s">
        <v>51</v>
      </c>
      <c r="N5" s="1" t="s">
        <v>65</v>
      </c>
      <c r="O5" s="1"/>
      <c r="P5" s="1" t="s">
        <v>53</v>
      </c>
      <c r="Q5" s="1" t="s">
        <v>66</v>
      </c>
      <c r="R5" s="1"/>
      <c r="S5" s="1"/>
      <c r="T5" s="1"/>
      <c r="U5" s="1"/>
      <c r="V5" s="1"/>
      <c r="W5" s="1"/>
      <c r="X5" s="1"/>
      <c r="Y5" s="1" t="s">
        <v>55</v>
      </c>
      <c r="Z5" s="1" t="s">
        <v>56</v>
      </c>
    </row>
    <row x14ac:dyDescent="0.25" r="6" customHeight="1" ht="20.25">
      <c r="A6" s="10">
        <f>_xlfn.CONCAT("NodeRed-7-",TEXT(ROW()-1,"000000"))</f>
      </c>
      <c r="B6" s="1"/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" t="s">
        <v>67</v>
      </c>
      <c r="I6" s="1" t="s">
        <v>49</v>
      </c>
      <c r="J6" s="12">
        <v>25569.33363425926</v>
      </c>
      <c r="K6" s="1" t="s">
        <v>68</v>
      </c>
      <c r="L6" s="1"/>
      <c r="M6" s="11" t="s">
        <v>51</v>
      </c>
      <c r="N6" s="1" t="s">
        <v>69</v>
      </c>
      <c r="O6" s="1"/>
      <c r="P6" s="1" t="s">
        <v>70</v>
      </c>
      <c r="Q6" s="1" t="s">
        <v>71</v>
      </c>
      <c r="R6" s="1"/>
      <c r="S6" s="1"/>
      <c r="T6" s="1"/>
      <c r="U6" s="1"/>
      <c r="V6" s="1"/>
      <c r="W6" s="1"/>
      <c r="X6" s="1"/>
      <c r="Y6" s="1" t="s">
        <v>55</v>
      </c>
      <c r="Z6" s="1" t="s">
        <v>72</v>
      </c>
    </row>
    <row x14ac:dyDescent="0.25" r="7" customHeight="1" ht="20.25">
      <c r="A7" s="10">
        <f>_xlfn.CONCAT("NodeRed-7-",TEXT(ROW()-1,"000000"))</f>
      </c>
      <c r="B7" s="1"/>
      <c r="C7" s="11" t="s">
        <v>43</v>
      </c>
      <c r="D7" s="11" t="s">
        <v>44</v>
      </c>
      <c r="E7" s="11" t="s">
        <v>45</v>
      </c>
      <c r="F7" s="11" t="s">
        <v>46</v>
      </c>
      <c r="G7" s="11" t="s">
        <v>47</v>
      </c>
      <c r="H7" s="1" t="s">
        <v>57</v>
      </c>
      <c r="I7" s="1" t="s">
        <v>49</v>
      </c>
      <c r="J7" s="12">
        <v>25569.33363425926</v>
      </c>
      <c r="K7" s="1" t="s">
        <v>73</v>
      </c>
      <c r="L7" s="1"/>
      <c r="M7" s="11" t="s">
        <v>51</v>
      </c>
      <c r="N7" s="1" t="s">
        <v>74</v>
      </c>
      <c r="O7" s="1"/>
      <c r="P7" s="1" t="s">
        <v>53</v>
      </c>
      <c r="Q7" s="1" t="s">
        <v>75</v>
      </c>
      <c r="R7" s="1"/>
      <c r="S7" s="1"/>
      <c r="T7" s="1"/>
      <c r="U7" s="1"/>
      <c r="V7" s="1"/>
      <c r="W7" s="1"/>
      <c r="X7" s="1"/>
      <c r="Y7" s="1" t="s">
        <v>55</v>
      </c>
      <c r="Z7" s="1" t="s">
        <v>56</v>
      </c>
    </row>
    <row x14ac:dyDescent="0.25" r="8" customHeight="1" ht="20.25">
      <c r="A8" s="10">
        <f>_xlfn.CONCAT("NodeRed-7-",TEXT(ROW()-1,"000000"))</f>
      </c>
      <c r="B8" s="1"/>
      <c r="C8" s="11" t="s">
        <v>43</v>
      </c>
      <c r="D8" s="11" t="s">
        <v>44</v>
      </c>
      <c r="E8" s="11" t="s">
        <v>45</v>
      </c>
      <c r="F8" s="11" t="s">
        <v>46</v>
      </c>
      <c r="G8" s="11" t="s">
        <v>47</v>
      </c>
      <c r="H8" s="1" t="s">
        <v>48</v>
      </c>
      <c r="I8" s="1" t="s">
        <v>49</v>
      </c>
      <c r="J8" s="12">
        <v>25569.33363425926</v>
      </c>
      <c r="K8" s="1" t="s">
        <v>76</v>
      </c>
      <c r="L8" s="1"/>
      <c r="M8" s="11" t="s">
        <v>51</v>
      </c>
      <c r="N8" s="1" t="s">
        <v>77</v>
      </c>
      <c r="O8" s="1"/>
      <c r="P8" s="1" t="s">
        <v>53</v>
      </c>
      <c r="Q8" s="1" t="s">
        <v>78</v>
      </c>
      <c r="R8" s="1"/>
      <c r="S8" s="1"/>
      <c r="T8" s="1"/>
      <c r="U8" s="1"/>
      <c r="V8" s="1"/>
      <c r="W8" s="1"/>
      <c r="X8" s="1"/>
      <c r="Y8" s="1" t="s">
        <v>55</v>
      </c>
      <c r="Z8" s="1" t="s">
        <v>56</v>
      </c>
    </row>
    <row x14ac:dyDescent="0.25" r="9" customHeight="1" ht="20.25">
      <c r="A9" s="10">
        <f>_xlfn.CONCAT("NodeRed-7-",TEXT(ROW()-1,"000000"))</f>
      </c>
      <c r="B9" s="1"/>
      <c r="C9" s="11" t="s">
        <v>43</v>
      </c>
      <c r="D9" s="11" t="s">
        <v>44</v>
      </c>
      <c r="E9" s="11" t="s">
        <v>45</v>
      </c>
      <c r="F9" s="11" t="s">
        <v>46</v>
      </c>
      <c r="G9" s="11" t="s">
        <v>47</v>
      </c>
      <c r="H9" s="1" t="s">
        <v>79</v>
      </c>
      <c r="I9" s="1" t="s">
        <v>49</v>
      </c>
      <c r="J9" s="12">
        <v>25569.33363425926</v>
      </c>
      <c r="K9" s="1" t="s">
        <v>80</v>
      </c>
      <c r="L9" s="1"/>
      <c r="M9" s="11" t="s">
        <v>51</v>
      </c>
      <c r="N9" s="1" t="s">
        <v>81</v>
      </c>
      <c r="O9" s="1"/>
      <c r="P9" s="1" t="s">
        <v>53</v>
      </c>
      <c r="Q9" s="1" t="s">
        <v>82</v>
      </c>
      <c r="R9" s="1"/>
      <c r="S9" s="1"/>
      <c r="T9" s="1"/>
      <c r="U9" s="1"/>
      <c r="V9" s="1"/>
      <c r="W9" s="1"/>
      <c r="X9" s="1"/>
      <c r="Y9" s="1" t="s">
        <v>55</v>
      </c>
      <c r="Z9" s="1" t="s">
        <v>83</v>
      </c>
    </row>
    <row x14ac:dyDescent="0.25" r="10" customHeight="1" ht="20.25">
      <c r="A10" s="10">
        <f>_xlfn.CONCAT("NodeRed-7-",TEXT(ROW()-1,"000000"))</f>
      </c>
      <c r="B10" s="1"/>
      <c r="C10" s="11" t="s">
        <v>43</v>
      </c>
      <c r="D10" s="11" t="s">
        <v>44</v>
      </c>
      <c r="E10" s="11" t="s">
        <v>45</v>
      </c>
      <c r="F10" s="11" t="s">
        <v>46</v>
      </c>
      <c r="G10" s="11" t="s">
        <v>47</v>
      </c>
      <c r="H10" s="1" t="s">
        <v>48</v>
      </c>
      <c r="I10" s="1" t="s">
        <v>49</v>
      </c>
      <c r="J10" s="12">
        <v>25569.33363425926</v>
      </c>
      <c r="K10" s="1" t="s">
        <v>84</v>
      </c>
      <c r="L10" s="1"/>
      <c r="M10" s="11" t="s">
        <v>51</v>
      </c>
      <c r="N10" s="1" t="s">
        <v>85</v>
      </c>
      <c r="O10" s="1"/>
      <c r="P10" s="1" t="s">
        <v>53</v>
      </c>
      <c r="Q10" s="1" t="s">
        <v>86</v>
      </c>
      <c r="R10" s="1"/>
      <c r="S10" s="1"/>
      <c r="T10" s="1"/>
      <c r="U10" s="1"/>
      <c r="V10" s="1"/>
      <c r="W10" s="1"/>
      <c r="X10" s="1"/>
      <c r="Y10" s="1" t="s">
        <v>55</v>
      </c>
      <c r="Z10" s="1" t="s">
        <v>56</v>
      </c>
    </row>
    <row x14ac:dyDescent="0.25" r="11" customHeight="1" ht="20.25">
      <c r="A11" s="10">
        <f>_xlfn.CONCAT("NodeRed-7-",TEXT(ROW()-1,"000000"))</f>
      </c>
      <c r="B11" s="1"/>
      <c r="C11" s="11" t="s">
        <v>43</v>
      </c>
      <c r="D11" s="11" t="s">
        <v>44</v>
      </c>
      <c r="E11" s="11" t="s">
        <v>45</v>
      </c>
      <c r="F11" s="11" t="s">
        <v>46</v>
      </c>
      <c r="G11" s="11" t="s">
        <v>47</v>
      </c>
      <c r="H11" s="1" t="s">
        <v>48</v>
      </c>
      <c r="I11" s="1" t="s">
        <v>49</v>
      </c>
      <c r="J11" s="12">
        <v>25569.33363425926</v>
      </c>
      <c r="K11" s="1" t="s">
        <v>87</v>
      </c>
      <c r="L11" s="1"/>
      <c r="M11" s="11" t="s">
        <v>51</v>
      </c>
      <c r="N11" s="1" t="s">
        <v>88</v>
      </c>
      <c r="O11" s="1"/>
      <c r="P11" s="1" t="s">
        <v>53</v>
      </c>
      <c r="Q11" s="1" t="s">
        <v>89</v>
      </c>
      <c r="R11" s="1"/>
      <c r="S11" s="1"/>
      <c r="T11" s="1"/>
      <c r="U11" s="1"/>
      <c r="V11" s="1"/>
      <c r="W11" s="1"/>
      <c r="X11" s="1"/>
      <c r="Y11" s="1" t="s">
        <v>55</v>
      </c>
      <c r="Z11" s="1" t="s">
        <v>56</v>
      </c>
    </row>
    <row x14ac:dyDescent="0.25" r="12" customHeight="1" ht="20.25">
      <c r="A12" s="10">
        <f>_xlfn.CONCAT("NodeRed-7-",TEXT(ROW()-1,"000000"))</f>
      </c>
      <c r="B12" s="1"/>
      <c r="C12" s="11" t="s">
        <v>43</v>
      </c>
      <c r="D12" s="11" t="s">
        <v>44</v>
      </c>
      <c r="E12" s="11" t="s">
        <v>45</v>
      </c>
      <c r="F12" s="11" t="s">
        <v>46</v>
      </c>
      <c r="G12" s="11" t="s">
        <v>47</v>
      </c>
      <c r="H12" s="1" t="s">
        <v>90</v>
      </c>
      <c r="I12" s="1" t="s">
        <v>49</v>
      </c>
      <c r="J12" s="12">
        <v>25569.33363425926</v>
      </c>
      <c r="K12" s="1" t="s">
        <v>91</v>
      </c>
      <c r="L12" s="1"/>
      <c r="M12" s="11" t="s">
        <v>51</v>
      </c>
      <c r="N12" s="1" t="s">
        <v>92</v>
      </c>
      <c r="O12" s="1"/>
      <c r="P12" s="1" t="s">
        <v>93</v>
      </c>
      <c r="Q12" s="1" t="s">
        <v>94</v>
      </c>
      <c r="R12" s="1"/>
      <c r="S12" s="1"/>
      <c r="T12" s="1"/>
      <c r="U12" s="1"/>
      <c r="V12" s="1"/>
      <c r="W12" s="1"/>
      <c r="X12" s="1"/>
      <c r="Y12" s="1" t="s">
        <v>95</v>
      </c>
      <c r="Z12" s="1" t="s">
        <v>96</v>
      </c>
    </row>
    <row x14ac:dyDescent="0.25" r="13" customHeight="1" ht="20.25">
      <c r="A13" s="10">
        <f>_xlfn.CONCAT("NodeRed-7-",TEXT(ROW()-1,"000000"))</f>
      </c>
      <c r="B13" s="1"/>
      <c r="C13" s="11" t="s">
        <v>43</v>
      </c>
      <c r="D13" s="11" t="s">
        <v>44</v>
      </c>
      <c r="E13" s="11" t="s">
        <v>45</v>
      </c>
      <c r="F13" s="11" t="s">
        <v>46</v>
      </c>
      <c r="G13" s="11" t="s">
        <v>47</v>
      </c>
      <c r="H13" s="1" t="s">
        <v>48</v>
      </c>
      <c r="I13" s="1" t="s">
        <v>49</v>
      </c>
      <c r="J13" s="12">
        <v>25569.33363425926</v>
      </c>
      <c r="K13" s="1" t="s">
        <v>97</v>
      </c>
      <c r="L13" s="1"/>
      <c r="M13" s="11" t="s">
        <v>51</v>
      </c>
      <c r="N13" s="1" t="s">
        <v>98</v>
      </c>
      <c r="O13" s="1"/>
      <c r="P13" s="1" t="s">
        <v>53</v>
      </c>
      <c r="Q13" s="1" t="s">
        <v>99</v>
      </c>
      <c r="R13" s="1"/>
      <c r="S13" s="1"/>
      <c r="T13" s="1"/>
      <c r="U13" s="1"/>
      <c r="V13" s="1"/>
      <c r="W13" s="1"/>
      <c r="X13" s="1"/>
      <c r="Y13" s="1" t="s">
        <v>55</v>
      </c>
      <c r="Z13" s="1" t="s">
        <v>56</v>
      </c>
    </row>
    <row x14ac:dyDescent="0.25" r="14" customHeight="1" ht="20.25">
      <c r="A14" s="10">
        <f>_xlfn.CONCAT("NodeRed-7-",TEXT(ROW()-1,"000000"))</f>
      </c>
      <c r="B14" s="1"/>
      <c r="C14" s="11" t="s">
        <v>43</v>
      </c>
      <c r="D14" s="11" t="s">
        <v>44</v>
      </c>
      <c r="E14" s="11" t="s">
        <v>45</v>
      </c>
      <c r="F14" s="11" t="s">
        <v>46</v>
      </c>
      <c r="G14" s="11" t="s">
        <v>47</v>
      </c>
      <c r="H14" s="1" t="s">
        <v>57</v>
      </c>
      <c r="I14" s="1" t="s">
        <v>49</v>
      </c>
      <c r="J14" s="12">
        <v>25569.33363425926</v>
      </c>
      <c r="K14" s="1" t="s">
        <v>100</v>
      </c>
      <c r="L14" s="1"/>
      <c r="M14" s="11" t="s">
        <v>51</v>
      </c>
      <c r="N14" s="1" t="s">
        <v>101</v>
      </c>
      <c r="O14" s="1"/>
      <c r="P14" s="1" t="s">
        <v>53</v>
      </c>
      <c r="Q14" s="1" t="s">
        <v>102</v>
      </c>
      <c r="R14" s="1"/>
      <c r="S14" s="1"/>
      <c r="T14" s="1"/>
      <c r="U14" s="1"/>
      <c r="V14" s="1"/>
      <c r="W14" s="1"/>
      <c r="X14" s="1"/>
      <c r="Y14" s="1" t="s">
        <v>55</v>
      </c>
      <c r="Z14" s="1" t="s">
        <v>56</v>
      </c>
    </row>
    <row x14ac:dyDescent="0.25" r="15" customHeight="1" ht="20.25">
      <c r="A15" s="10">
        <f>_xlfn.CONCAT("NodeRed-7-",TEXT(ROW()-1,"000000"))</f>
      </c>
      <c r="B15" s="1"/>
      <c r="C15" s="11" t="s">
        <v>43</v>
      </c>
      <c r="D15" s="11" t="s">
        <v>44</v>
      </c>
      <c r="E15" s="11" t="s">
        <v>45</v>
      </c>
      <c r="F15" s="11" t="s">
        <v>46</v>
      </c>
      <c r="G15" s="11" t="s">
        <v>47</v>
      </c>
      <c r="H15" s="1" t="s">
        <v>57</v>
      </c>
      <c r="I15" s="1" t="s">
        <v>49</v>
      </c>
      <c r="J15" s="12">
        <v>25569.33363425926</v>
      </c>
      <c r="K15" s="1" t="s">
        <v>103</v>
      </c>
      <c r="L15" s="1"/>
      <c r="M15" s="11" t="s">
        <v>51</v>
      </c>
      <c r="N15" s="1" t="s">
        <v>104</v>
      </c>
      <c r="O15" s="1"/>
      <c r="P15" s="1" t="s">
        <v>53</v>
      </c>
      <c r="Q15" s="1" t="s">
        <v>105</v>
      </c>
      <c r="R15" s="1"/>
      <c r="S15" s="1"/>
      <c r="T15" s="1"/>
      <c r="U15" s="1"/>
      <c r="V15" s="1"/>
      <c r="W15" s="1"/>
      <c r="X15" s="1"/>
      <c r="Y15" s="1" t="s">
        <v>55</v>
      </c>
      <c r="Z15" s="1" t="s">
        <v>56</v>
      </c>
    </row>
    <row x14ac:dyDescent="0.25" r="16" customHeight="1" ht="20.25">
      <c r="A16" s="10">
        <f>_xlfn.CONCAT("NodeRed-7-",TEXT(ROW()-1,"000000"))</f>
      </c>
      <c r="B16" s="1"/>
      <c r="C16" s="11" t="s">
        <v>43</v>
      </c>
      <c r="D16" s="11" t="s">
        <v>44</v>
      </c>
      <c r="E16" s="11" t="s">
        <v>45</v>
      </c>
      <c r="F16" s="11" t="s">
        <v>46</v>
      </c>
      <c r="G16" s="11" t="s">
        <v>47</v>
      </c>
      <c r="H16" s="1" t="s">
        <v>106</v>
      </c>
      <c r="I16" s="1" t="s">
        <v>49</v>
      </c>
      <c r="J16" s="12">
        <v>25569.33363425926</v>
      </c>
      <c r="K16" s="1" t="s">
        <v>107</v>
      </c>
      <c r="L16" s="1"/>
      <c r="M16" s="11" t="s">
        <v>51</v>
      </c>
      <c r="N16" s="1" t="s">
        <v>108</v>
      </c>
      <c r="O16" s="1"/>
      <c r="P16" s="1" t="s">
        <v>53</v>
      </c>
      <c r="Q16" s="1" t="s">
        <v>109</v>
      </c>
      <c r="R16" s="1"/>
      <c r="S16" s="1"/>
      <c r="T16" s="1"/>
      <c r="U16" s="1"/>
      <c r="V16" s="1"/>
      <c r="W16" s="1"/>
      <c r="X16" s="1"/>
      <c r="Y16" s="1" t="s">
        <v>55</v>
      </c>
      <c r="Z16" s="1" t="s">
        <v>110</v>
      </c>
    </row>
    <row x14ac:dyDescent="0.25" r="17" customHeight="1" ht="20.25">
      <c r="A17" s="10">
        <f>_xlfn.CONCAT("NodeRed-7-",TEXT(ROW()-1,"000000"))</f>
      </c>
      <c r="B17" s="1"/>
      <c r="C17" s="11" t="s">
        <v>43</v>
      </c>
      <c r="D17" s="11" t="s">
        <v>44</v>
      </c>
      <c r="E17" s="11" t="s">
        <v>45</v>
      </c>
      <c r="F17" s="11" t="s">
        <v>46</v>
      </c>
      <c r="G17" s="11" t="s">
        <v>47</v>
      </c>
      <c r="H17" s="1" t="s">
        <v>111</v>
      </c>
      <c r="I17" s="1" t="s">
        <v>49</v>
      </c>
      <c r="J17" s="12">
        <v>25569.33363425926</v>
      </c>
      <c r="K17" s="1" t="s">
        <v>112</v>
      </c>
      <c r="L17" s="1"/>
      <c r="M17" s="11" t="s">
        <v>51</v>
      </c>
      <c r="N17" s="1" t="s">
        <v>113</v>
      </c>
      <c r="O17" s="1"/>
      <c r="P17" s="1" t="s">
        <v>53</v>
      </c>
      <c r="Q17" s="1" t="s">
        <v>114</v>
      </c>
      <c r="R17" s="1"/>
      <c r="S17" s="1"/>
      <c r="T17" s="1"/>
      <c r="U17" s="1"/>
      <c r="V17" s="1"/>
      <c r="W17" s="1"/>
      <c r="X17" s="1"/>
      <c r="Y17" s="1" t="s">
        <v>55</v>
      </c>
      <c r="Z17" s="1" t="s">
        <v>115</v>
      </c>
    </row>
    <row x14ac:dyDescent="0.25" r="18" customHeight="1" ht="20.25">
      <c r="A18" s="10">
        <f>_xlfn.CONCAT("NodeRed-7-",TEXT(ROW()-1,"000000"))</f>
      </c>
      <c r="B18" s="1"/>
      <c r="C18" s="11" t="s">
        <v>43</v>
      </c>
      <c r="D18" s="11" t="s">
        <v>44</v>
      </c>
      <c r="E18" s="11" t="s">
        <v>45</v>
      </c>
      <c r="F18" s="11" t="s">
        <v>46</v>
      </c>
      <c r="G18" s="11" t="s">
        <v>47</v>
      </c>
      <c r="H18" s="1" t="s">
        <v>116</v>
      </c>
      <c r="I18" s="1" t="s">
        <v>49</v>
      </c>
      <c r="J18" s="12">
        <v>25569.33363425926</v>
      </c>
      <c r="K18" s="1" t="s">
        <v>117</v>
      </c>
      <c r="L18" s="1"/>
      <c r="M18" s="11" t="s">
        <v>51</v>
      </c>
      <c r="N18" s="1" t="s">
        <v>118</v>
      </c>
      <c r="O18" s="1"/>
      <c r="P18" s="1" t="s">
        <v>53</v>
      </c>
      <c r="Q18" s="1" t="s">
        <v>119</v>
      </c>
      <c r="R18" s="1"/>
      <c r="S18" s="1"/>
      <c r="T18" s="1"/>
      <c r="U18" s="1"/>
      <c r="V18" s="1"/>
      <c r="W18" s="1"/>
      <c r="X18" s="1"/>
      <c r="Y18" s="1" t="s">
        <v>55</v>
      </c>
      <c r="Z18" s="1" t="s">
        <v>115</v>
      </c>
    </row>
    <row x14ac:dyDescent="0.25" r="19" customHeight="1" ht="20.25">
      <c r="A19" s="10">
        <f>_xlfn.CONCAT("NodeRed-7-",TEXT(ROW()-1,"000000"))</f>
      </c>
      <c r="B19" s="1"/>
      <c r="C19" s="11" t="s">
        <v>43</v>
      </c>
      <c r="D19" s="11" t="s">
        <v>44</v>
      </c>
      <c r="E19" s="11" t="s">
        <v>45</v>
      </c>
      <c r="F19" s="11" t="s">
        <v>46</v>
      </c>
      <c r="G19" s="11" t="s">
        <v>47</v>
      </c>
      <c r="H19" s="1" t="s">
        <v>57</v>
      </c>
      <c r="I19" s="1" t="s">
        <v>49</v>
      </c>
      <c r="J19" s="12">
        <v>25569.33363425926</v>
      </c>
      <c r="K19" s="1" t="s">
        <v>120</v>
      </c>
      <c r="L19" s="1"/>
      <c r="M19" s="11" t="s">
        <v>51</v>
      </c>
      <c r="N19" s="1" t="s">
        <v>121</v>
      </c>
      <c r="O19" s="1"/>
      <c r="P19" s="1" t="s">
        <v>53</v>
      </c>
      <c r="Q19" s="1" t="s">
        <v>122</v>
      </c>
      <c r="R19" s="1"/>
      <c r="S19" s="1"/>
      <c r="T19" s="1"/>
      <c r="U19" s="1"/>
      <c r="V19" s="1"/>
      <c r="W19" s="1"/>
      <c r="X19" s="1"/>
      <c r="Y19" s="1" t="s">
        <v>55</v>
      </c>
      <c r="Z19" s="1" t="s">
        <v>56</v>
      </c>
    </row>
    <row x14ac:dyDescent="0.25" r="20" customHeight="1" ht="20.25">
      <c r="A20" s="10">
        <f>_xlfn.CONCAT("NodeRed-7-",TEXT(ROW()-1,"000000"))</f>
      </c>
      <c r="B20" s="1"/>
      <c r="C20" s="11" t="s">
        <v>43</v>
      </c>
      <c r="D20" s="11" t="s">
        <v>44</v>
      </c>
      <c r="E20" s="11" t="s">
        <v>45</v>
      </c>
      <c r="F20" s="11" t="s">
        <v>46</v>
      </c>
      <c r="G20" s="11" t="s">
        <v>47</v>
      </c>
      <c r="H20" s="1" t="s">
        <v>123</v>
      </c>
      <c r="I20" s="1" t="s">
        <v>49</v>
      </c>
      <c r="J20" s="12">
        <v>25569.33363425926</v>
      </c>
      <c r="K20" s="1" t="s">
        <v>124</v>
      </c>
      <c r="L20" s="1"/>
      <c r="M20" s="11" t="s">
        <v>51</v>
      </c>
      <c r="N20" s="1" t="s">
        <v>125</v>
      </c>
      <c r="O20" s="1"/>
      <c r="P20" s="1" t="s">
        <v>126</v>
      </c>
      <c r="Q20" s="1" t="s">
        <v>127</v>
      </c>
      <c r="R20" s="1"/>
      <c r="S20" s="1"/>
      <c r="T20" s="1"/>
      <c r="U20" s="1"/>
      <c r="V20" s="1"/>
      <c r="W20" s="1"/>
      <c r="X20" s="1"/>
      <c r="Y20" s="1" t="s">
        <v>55</v>
      </c>
      <c r="Z20" s="1" t="s">
        <v>128</v>
      </c>
    </row>
    <row x14ac:dyDescent="0.25" r="21" customHeight="1" ht="20.25">
      <c r="A21" s="10">
        <f>_xlfn.CONCAT("NodeRed-7-",TEXT(ROW()-1,"000000"))</f>
      </c>
      <c r="B21" s="1"/>
      <c r="C21" s="11" t="s">
        <v>43</v>
      </c>
      <c r="D21" s="11" t="s">
        <v>44</v>
      </c>
      <c r="E21" s="11" t="s">
        <v>45</v>
      </c>
      <c r="F21" s="11" t="s">
        <v>46</v>
      </c>
      <c r="G21" s="11" t="s">
        <v>47</v>
      </c>
      <c r="H21" s="1" t="s">
        <v>129</v>
      </c>
      <c r="I21" s="1" t="s">
        <v>49</v>
      </c>
      <c r="J21" s="12">
        <v>25569.33363425926</v>
      </c>
      <c r="K21" s="1" t="s">
        <v>130</v>
      </c>
      <c r="L21" s="1"/>
      <c r="M21" s="11" t="s">
        <v>51</v>
      </c>
      <c r="N21" s="1" t="s">
        <v>131</v>
      </c>
      <c r="O21" s="1"/>
      <c r="P21" s="1" t="s">
        <v>132</v>
      </c>
      <c r="Q21" s="1" t="s">
        <v>133</v>
      </c>
      <c r="R21" s="1"/>
      <c r="S21" s="1"/>
      <c r="T21" s="1"/>
      <c r="U21" s="1"/>
      <c r="V21" s="1"/>
      <c r="W21" s="1"/>
      <c r="X21" s="1"/>
      <c r="Y21" s="1" t="s">
        <v>95</v>
      </c>
      <c r="Z21" s="1" t="s">
        <v>110</v>
      </c>
    </row>
    <row x14ac:dyDescent="0.25" r="22" customHeight="1" ht="20.25">
      <c r="A22" s="10">
        <f>_xlfn.CONCAT("NodeRed-7-",TEXT(ROW()-1,"000000"))</f>
      </c>
      <c r="B22" s="1"/>
      <c r="C22" s="11" t="s">
        <v>43</v>
      </c>
      <c r="D22" s="11" t="s">
        <v>44</v>
      </c>
      <c r="E22" s="11" t="s">
        <v>45</v>
      </c>
      <c r="F22" s="11" t="s">
        <v>46</v>
      </c>
      <c r="G22" s="11" t="s">
        <v>47</v>
      </c>
      <c r="H22" s="1" t="s">
        <v>134</v>
      </c>
      <c r="I22" s="1" t="s">
        <v>49</v>
      </c>
      <c r="J22" s="12">
        <v>25569.33363425926</v>
      </c>
      <c r="K22" s="1" t="s">
        <v>135</v>
      </c>
      <c r="L22" s="1"/>
      <c r="M22" s="11" t="s">
        <v>51</v>
      </c>
      <c r="N22" s="1" t="s">
        <v>136</v>
      </c>
      <c r="O22" s="1"/>
      <c r="P22" s="1" t="s">
        <v>53</v>
      </c>
      <c r="Q22" s="1" t="s">
        <v>137</v>
      </c>
      <c r="R22" s="1"/>
      <c r="S22" s="1"/>
      <c r="T22" s="1"/>
      <c r="U22" s="1"/>
      <c r="V22" s="1"/>
      <c r="W22" s="1"/>
      <c r="X22" s="1"/>
      <c r="Y22" s="1" t="s">
        <v>138</v>
      </c>
      <c r="Z22" s="1" t="s">
        <v>56</v>
      </c>
    </row>
    <row x14ac:dyDescent="0.25" r="23" customHeight="1" ht="20.25">
      <c r="A23" s="10">
        <f>_xlfn.CONCAT("NodeRed-7-",TEXT(ROW()-1,"000000"))</f>
      </c>
      <c r="B23" s="1"/>
      <c r="C23" s="11" t="s">
        <v>43</v>
      </c>
      <c r="D23" s="11" t="s">
        <v>44</v>
      </c>
      <c r="E23" s="11" t="s">
        <v>45</v>
      </c>
      <c r="F23" s="11" t="s">
        <v>46</v>
      </c>
      <c r="G23" s="11" t="s">
        <v>47</v>
      </c>
      <c r="H23" s="1" t="s">
        <v>57</v>
      </c>
      <c r="I23" s="1" t="s">
        <v>49</v>
      </c>
      <c r="J23" s="12">
        <v>25569.33363425926</v>
      </c>
      <c r="K23" s="1" t="s">
        <v>139</v>
      </c>
      <c r="L23" s="1"/>
      <c r="M23" s="11" t="s">
        <v>51</v>
      </c>
      <c r="N23" s="1" t="s">
        <v>140</v>
      </c>
      <c r="O23" s="1"/>
      <c r="P23" s="1" t="s">
        <v>53</v>
      </c>
      <c r="Q23" s="1" t="s">
        <v>141</v>
      </c>
      <c r="R23" s="1"/>
      <c r="S23" s="1"/>
      <c r="T23" s="1"/>
      <c r="U23" s="1"/>
      <c r="V23" s="1"/>
      <c r="W23" s="1"/>
      <c r="X23" s="1"/>
      <c r="Y23" s="1" t="s">
        <v>138</v>
      </c>
      <c r="Z23" s="1" t="s">
        <v>56</v>
      </c>
    </row>
    <row x14ac:dyDescent="0.25" r="24" customHeight="1" ht="20.25">
      <c r="A24" s="10">
        <f>_xlfn.CONCAT("NodeRed-7-",TEXT(ROW()-1,"000000"))</f>
      </c>
      <c r="B24" s="1"/>
      <c r="C24" s="11" t="s">
        <v>43</v>
      </c>
      <c r="D24" s="11" t="s">
        <v>44</v>
      </c>
      <c r="E24" s="11" t="s">
        <v>45</v>
      </c>
      <c r="F24" s="11" t="s">
        <v>46</v>
      </c>
      <c r="G24" s="11" t="s">
        <v>47</v>
      </c>
      <c r="H24" s="1" t="s">
        <v>142</v>
      </c>
      <c r="I24" s="1" t="s">
        <v>49</v>
      </c>
      <c r="J24" s="12">
        <v>25569.33363425926</v>
      </c>
      <c r="K24" s="1" t="s">
        <v>143</v>
      </c>
      <c r="L24" s="1"/>
      <c r="M24" s="11" t="s">
        <v>51</v>
      </c>
      <c r="N24" s="1" t="s">
        <v>144</v>
      </c>
      <c r="O24" s="1"/>
      <c r="P24" s="1" t="s">
        <v>53</v>
      </c>
      <c r="Q24" s="1" t="s">
        <v>145</v>
      </c>
      <c r="R24" s="1"/>
      <c r="S24" s="1"/>
      <c r="T24" s="1"/>
      <c r="U24" s="1"/>
      <c r="V24" s="1"/>
      <c r="W24" s="1"/>
      <c r="X24" s="1"/>
      <c r="Y24" s="1" t="s">
        <v>138</v>
      </c>
      <c r="Z24" s="1" t="s">
        <v>56</v>
      </c>
    </row>
    <row x14ac:dyDescent="0.25" r="25" customHeight="1" ht="20.25">
      <c r="A25" s="10">
        <f>_xlfn.CONCAT("NodeRed-7-",TEXT(ROW()-1,"000000"))</f>
      </c>
      <c r="B25" s="1"/>
      <c r="C25" s="11" t="s">
        <v>43</v>
      </c>
      <c r="D25" s="11" t="s">
        <v>44</v>
      </c>
      <c r="E25" s="11" t="s">
        <v>45</v>
      </c>
      <c r="F25" s="11" t="s">
        <v>46</v>
      </c>
      <c r="G25" s="11" t="s">
        <v>47</v>
      </c>
      <c r="H25" s="1" t="s">
        <v>146</v>
      </c>
      <c r="I25" s="1" t="s">
        <v>49</v>
      </c>
      <c r="J25" s="12">
        <v>25569.33363425926</v>
      </c>
      <c r="K25" s="1" t="s">
        <v>147</v>
      </c>
      <c r="L25" s="1"/>
      <c r="M25" s="11" t="s">
        <v>51</v>
      </c>
      <c r="N25" s="1" t="s">
        <v>148</v>
      </c>
      <c r="O25" s="1"/>
      <c r="P25" s="1" t="s">
        <v>149</v>
      </c>
      <c r="Q25" s="1" t="s">
        <v>150</v>
      </c>
      <c r="R25" s="1"/>
      <c r="S25" s="1"/>
      <c r="T25" s="1"/>
      <c r="U25" s="1"/>
      <c r="V25" s="1"/>
      <c r="W25" s="1"/>
      <c r="X25" s="1"/>
      <c r="Y25" s="1" t="s">
        <v>151</v>
      </c>
      <c r="Z25" s="1" t="s">
        <v>115</v>
      </c>
    </row>
    <row x14ac:dyDescent="0.25" r="26" customHeight="1" ht="20.25">
      <c r="A26" s="10">
        <f>_xlfn.CONCAT("NodeRed-7-",TEXT(ROW()-1,"000000"))</f>
      </c>
      <c r="B26" s="1"/>
      <c r="C26" s="11" t="s">
        <v>43</v>
      </c>
      <c r="D26" s="11" t="s">
        <v>44</v>
      </c>
      <c r="E26" s="11" t="s">
        <v>45</v>
      </c>
      <c r="F26" s="11" t="s">
        <v>46</v>
      </c>
      <c r="G26" s="11" t="s">
        <v>47</v>
      </c>
      <c r="H26" s="1" t="s">
        <v>79</v>
      </c>
      <c r="I26" s="1" t="s">
        <v>49</v>
      </c>
      <c r="J26" s="12">
        <v>25569.33363425926</v>
      </c>
      <c r="K26" s="1" t="s">
        <v>152</v>
      </c>
      <c r="L26" s="1"/>
      <c r="M26" s="11" t="s">
        <v>51</v>
      </c>
      <c r="N26" s="1" t="s">
        <v>153</v>
      </c>
      <c r="O26" s="1"/>
      <c r="P26" s="1" t="s">
        <v>53</v>
      </c>
      <c r="Q26" s="1" t="s">
        <v>154</v>
      </c>
      <c r="R26" s="1"/>
      <c r="S26" s="1"/>
      <c r="T26" s="1"/>
      <c r="U26" s="1"/>
      <c r="V26" s="1"/>
      <c r="W26" s="1"/>
      <c r="X26" s="1"/>
      <c r="Y26" s="1" t="s">
        <v>138</v>
      </c>
      <c r="Z26" s="1" t="s">
        <v>96</v>
      </c>
    </row>
    <row x14ac:dyDescent="0.25" r="27" customHeight="1" ht="20.25">
      <c r="A27" s="10">
        <f>_xlfn.CONCAT("NodeRed-7-",TEXT(ROW()-1,"000000"))</f>
      </c>
      <c r="B27" s="1"/>
      <c r="C27" s="11" t="s">
        <v>43</v>
      </c>
      <c r="D27" s="11" t="s">
        <v>44</v>
      </c>
      <c r="E27" s="11" t="s">
        <v>45</v>
      </c>
      <c r="F27" s="11" t="s">
        <v>46</v>
      </c>
      <c r="G27" s="11" t="s">
        <v>47</v>
      </c>
      <c r="H27" s="1" t="s">
        <v>155</v>
      </c>
      <c r="I27" s="1" t="s">
        <v>49</v>
      </c>
      <c r="J27" s="12">
        <v>25569.33363425926</v>
      </c>
      <c r="K27" s="1" t="s">
        <v>156</v>
      </c>
      <c r="L27" s="1"/>
      <c r="M27" s="11" t="s">
        <v>51</v>
      </c>
      <c r="N27" s="1" t="s">
        <v>157</v>
      </c>
      <c r="O27" s="1"/>
      <c r="P27" s="1" t="s">
        <v>158</v>
      </c>
      <c r="Q27" s="1" t="s">
        <v>159</v>
      </c>
      <c r="R27" s="1"/>
      <c r="S27" s="1"/>
      <c r="T27" s="1"/>
      <c r="U27" s="1"/>
      <c r="V27" s="1"/>
      <c r="W27" s="1"/>
      <c r="X27" s="1"/>
      <c r="Y27" s="1" t="s">
        <v>138</v>
      </c>
      <c r="Z27" s="1" t="s">
        <v>160</v>
      </c>
    </row>
    <row x14ac:dyDescent="0.25" r="28" customHeight="1" ht="20.25">
      <c r="A28" s="10">
        <f>_xlfn.CONCAT("NodeRed-7-",TEXT(ROW()-1,"000000"))</f>
      </c>
      <c r="B28" s="1"/>
      <c r="C28" s="11" t="s">
        <v>43</v>
      </c>
      <c r="D28" s="11" t="s">
        <v>44</v>
      </c>
      <c r="E28" s="11" t="s">
        <v>45</v>
      </c>
      <c r="F28" s="11" t="s">
        <v>46</v>
      </c>
      <c r="G28" s="11" t="s">
        <v>47</v>
      </c>
      <c r="H28" s="1" t="s">
        <v>79</v>
      </c>
      <c r="I28" s="1" t="s">
        <v>49</v>
      </c>
      <c r="J28" s="12">
        <v>25569.33363425926</v>
      </c>
      <c r="K28" s="1" t="s">
        <v>161</v>
      </c>
      <c r="L28" s="1"/>
      <c r="M28" s="11" t="s">
        <v>51</v>
      </c>
      <c r="N28" s="1" t="s">
        <v>162</v>
      </c>
      <c r="O28" s="1"/>
      <c r="P28" s="1" t="s">
        <v>53</v>
      </c>
      <c r="Q28" s="1" t="s">
        <v>163</v>
      </c>
      <c r="R28" s="1"/>
      <c r="S28" s="1"/>
      <c r="T28" s="1"/>
      <c r="U28" s="1"/>
      <c r="V28" s="1"/>
      <c r="W28" s="1"/>
      <c r="X28" s="1"/>
      <c r="Y28" s="1" t="s">
        <v>138</v>
      </c>
      <c r="Z28" s="1" t="s">
        <v>96</v>
      </c>
    </row>
    <row x14ac:dyDescent="0.25" r="29" customHeight="1" ht="20.25">
      <c r="A29" s="10">
        <f>_xlfn.CONCAT("NodeRed-7-",TEXT(ROW()-1,"000000"))</f>
      </c>
      <c r="B29" s="1"/>
      <c r="C29" s="11" t="s">
        <v>43</v>
      </c>
      <c r="D29" s="11" t="s">
        <v>44</v>
      </c>
      <c r="E29" s="11" t="s">
        <v>45</v>
      </c>
      <c r="F29" s="11" t="s">
        <v>46</v>
      </c>
      <c r="G29" s="11" t="s">
        <v>47</v>
      </c>
      <c r="H29" s="1" t="s">
        <v>164</v>
      </c>
      <c r="I29" s="1" t="s">
        <v>49</v>
      </c>
      <c r="J29" s="12">
        <v>25569.33363425926</v>
      </c>
      <c r="K29" s="1" t="s">
        <v>165</v>
      </c>
      <c r="L29" s="1"/>
      <c r="M29" s="11" t="s">
        <v>51</v>
      </c>
      <c r="N29" s="1" t="s">
        <v>166</v>
      </c>
      <c r="O29" s="1"/>
      <c r="P29" s="1" t="s">
        <v>167</v>
      </c>
      <c r="Q29" s="1" t="s">
        <v>168</v>
      </c>
      <c r="R29" s="1"/>
      <c r="S29" s="1"/>
      <c r="T29" s="1"/>
      <c r="U29" s="1"/>
      <c r="V29" s="1"/>
      <c r="W29" s="1"/>
      <c r="X29" s="1"/>
      <c r="Y29" s="1" t="s">
        <v>138</v>
      </c>
      <c r="Z29" s="1" t="s">
        <v>169</v>
      </c>
    </row>
    <row x14ac:dyDescent="0.25" r="30" customHeight="1" ht="20.25">
      <c r="A30" s="10">
        <f>_xlfn.CONCAT("NodeRed-7-",TEXT(ROW()-1,"000000"))</f>
      </c>
      <c r="B30" s="1"/>
      <c r="C30" s="11" t="s">
        <v>43</v>
      </c>
      <c r="D30" s="11" t="s">
        <v>44</v>
      </c>
      <c r="E30" s="11" t="s">
        <v>45</v>
      </c>
      <c r="F30" s="11" t="s">
        <v>46</v>
      </c>
      <c r="G30" s="11" t="s">
        <v>47</v>
      </c>
      <c r="H30" s="1" t="s">
        <v>79</v>
      </c>
      <c r="I30" s="1" t="s">
        <v>49</v>
      </c>
      <c r="J30" s="12">
        <v>25569.33363425926</v>
      </c>
      <c r="K30" s="1" t="s">
        <v>170</v>
      </c>
      <c r="L30" s="1"/>
      <c r="M30" s="11" t="s">
        <v>51</v>
      </c>
      <c r="N30" s="1" t="s">
        <v>171</v>
      </c>
      <c r="O30" s="1"/>
      <c r="P30" s="1" t="s">
        <v>53</v>
      </c>
      <c r="Q30" s="1" t="s">
        <v>172</v>
      </c>
      <c r="R30" s="1"/>
      <c r="S30" s="1"/>
      <c r="T30" s="1"/>
      <c r="U30" s="1"/>
      <c r="V30" s="1"/>
      <c r="W30" s="1"/>
      <c r="X30" s="1"/>
      <c r="Y30" s="1" t="s">
        <v>138</v>
      </c>
      <c r="Z30" s="1" t="s">
        <v>96</v>
      </c>
    </row>
    <row x14ac:dyDescent="0.25" r="31" customHeight="1" ht="20.25">
      <c r="A31" s="10">
        <f>_xlfn.CONCAT("NodeRed-7-",TEXT(ROW()-1,"000000"))</f>
      </c>
      <c r="B31" s="1"/>
      <c r="C31" s="11" t="s">
        <v>43</v>
      </c>
      <c r="D31" s="11" t="s">
        <v>44</v>
      </c>
      <c r="E31" s="11" t="s">
        <v>45</v>
      </c>
      <c r="F31" s="11" t="s">
        <v>46</v>
      </c>
      <c r="G31" s="11" t="s">
        <v>47</v>
      </c>
      <c r="H31" s="1" t="s">
        <v>173</v>
      </c>
      <c r="I31" s="1" t="s">
        <v>49</v>
      </c>
      <c r="J31" s="12">
        <v>25569.33363425926</v>
      </c>
      <c r="K31" s="1" t="s">
        <v>174</v>
      </c>
      <c r="L31" s="1"/>
      <c r="M31" s="11" t="s">
        <v>51</v>
      </c>
      <c r="N31" s="1" t="s">
        <v>175</v>
      </c>
      <c r="O31" s="1"/>
      <c r="P31" s="1" t="s">
        <v>176</v>
      </c>
      <c r="Q31" s="1" t="s">
        <v>177</v>
      </c>
      <c r="R31" s="1"/>
      <c r="S31" s="1"/>
      <c r="T31" s="1"/>
      <c r="U31" s="1"/>
      <c r="V31" s="1"/>
      <c r="W31" s="1"/>
      <c r="X31" s="1"/>
      <c r="Y31" s="1" t="s">
        <v>138</v>
      </c>
      <c r="Z31" s="1" t="s">
        <v>178</v>
      </c>
    </row>
    <row x14ac:dyDescent="0.25" r="32" customHeight="1" ht="20.25">
      <c r="A32" s="10">
        <f>_xlfn.CONCAT("NodeRed-7-",TEXT(ROW()-1,"000000"))</f>
      </c>
      <c r="B32" s="1"/>
      <c r="C32" s="11" t="s">
        <v>43</v>
      </c>
      <c r="D32" s="11" t="s">
        <v>44</v>
      </c>
      <c r="E32" s="11" t="s">
        <v>45</v>
      </c>
      <c r="F32" s="11" t="s">
        <v>46</v>
      </c>
      <c r="G32" s="11" t="s">
        <v>47</v>
      </c>
      <c r="H32" s="1" t="s">
        <v>79</v>
      </c>
      <c r="I32" s="1" t="s">
        <v>49</v>
      </c>
      <c r="J32" s="12">
        <v>25569.33363425926</v>
      </c>
      <c r="K32" s="1" t="s">
        <v>179</v>
      </c>
      <c r="L32" s="1"/>
      <c r="M32" s="11" t="s">
        <v>51</v>
      </c>
      <c r="N32" s="1" t="s">
        <v>180</v>
      </c>
      <c r="O32" s="1"/>
      <c r="P32" s="1" t="s">
        <v>53</v>
      </c>
      <c r="Q32" s="1" t="s">
        <v>181</v>
      </c>
      <c r="R32" s="1"/>
      <c r="S32" s="1"/>
      <c r="T32" s="1"/>
      <c r="U32" s="1"/>
      <c r="V32" s="1"/>
      <c r="W32" s="1"/>
      <c r="X32" s="1"/>
      <c r="Y32" s="1" t="s">
        <v>138</v>
      </c>
      <c r="Z32" s="1" t="s">
        <v>96</v>
      </c>
    </row>
    <row x14ac:dyDescent="0.25" r="33" customHeight="1" ht="20.25">
      <c r="A33" s="10">
        <f>_xlfn.CONCAT("NodeRed-7-",TEXT(ROW()-1,"000000"))</f>
      </c>
      <c r="B33" s="1"/>
      <c r="C33" s="11" t="s">
        <v>43</v>
      </c>
      <c r="D33" s="11" t="s">
        <v>44</v>
      </c>
      <c r="E33" s="11" t="s">
        <v>45</v>
      </c>
      <c r="F33" s="11" t="s">
        <v>46</v>
      </c>
      <c r="G33" s="11" t="s">
        <v>47</v>
      </c>
      <c r="H33" s="1" t="s">
        <v>79</v>
      </c>
      <c r="I33" s="1" t="s">
        <v>49</v>
      </c>
      <c r="J33" s="12">
        <v>25569.33363425926</v>
      </c>
      <c r="K33" s="1" t="s">
        <v>182</v>
      </c>
      <c r="L33" s="1"/>
      <c r="M33" s="11" t="s">
        <v>51</v>
      </c>
      <c r="N33" s="1" t="s">
        <v>183</v>
      </c>
      <c r="O33" s="1"/>
      <c r="P33" s="1" t="s">
        <v>53</v>
      </c>
      <c r="Q33" s="1" t="s">
        <v>184</v>
      </c>
      <c r="R33" s="1"/>
      <c r="S33" s="1"/>
      <c r="T33" s="1"/>
      <c r="U33" s="1"/>
      <c r="V33" s="1"/>
      <c r="W33" s="1"/>
      <c r="X33" s="1"/>
      <c r="Y33" s="1" t="s">
        <v>138</v>
      </c>
      <c r="Z33" s="1" t="s">
        <v>96</v>
      </c>
    </row>
    <row x14ac:dyDescent="0.25" r="34" customHeight="1" ht="20.25">
      <c r="A34" s="10">
        <f>_xlfn.CONCAT("NodeRed-7-",TEXT(ROW()-1,"000000"))</f>
      </c>
      <c r="B34" s="1"/>
      <c r="C34" s="11" t="s">
        <v>43</v>
      </c>
      <c r="D34" s="11" t="s">
        <v>44</v>
      </c>
      <c r="E34" s="11" t="s">
        <v>45</v>
      </c>
      <c r="F34" s="11" t="s">
        <v>46</v>
      </c>
      <c r="G34" s="11" t="s">
        <v>47</v>
      </c>
      <c r="H34" s="1" t="s">
        <v>185</v>
      </c>
      <c r="I34" s="1" t="s">
        <v>49</v>
      </c>
      <c r="J34" s="12">
        <v>25569.33363425926</v>
      </c>
      <c r="K34" s="1" t="s">
        <v>186</v>
      </c>
      <c r="L34" s="1"/>
      <c r="M34" s="11" t="s">
        <v>51</v>
      </c>
      <c r="N34" s="1" t="s">
        <v>187</v>
      </c>
      <c r="O34" s="1"/>
      <c r="P34" s="1" t="s">
        <v>188</v>
      </c>
      <c r="Q34" s="1" t="s">
        <v>189</v>
      </c>
      <c r="R34" s="1"/>
      <c r="S34" s="1"/>
      <c r="T34" s="1"/>
      <c r="U34" s="1"/>
      <c r="V34" s="1"/>
      <c r="W34" s="1"/>
      <c r="X34" s="1"/>
      <c r="Y34" s="1" t="s">
        <v>138</v>
      </c>
      <c r="Z34" s="1" t="s">
        <v>115</v>
      </c>
    </row>
    <row x14ac:dyDescent="0.25" r="35" customHeight="1" ht="20.25">
      <c r="A35" s="10">
        <f>_xlfn.CONCAT("NodeRed-7-",TEXT(ROW()-1,"000000"))</f>
      </c>
      <c r="B35" s="1"/>
      <c r="C35" s="11" t="s">
        <v>43</v>
      </c>
      <c r="D35" s="11" t="s">
        <v>44</v>
      </c>
      <c r="E35" s="11" t="s">
        <v>45</v>
      </c>
      <c r="F35" s="11" t="s">
        <v>46</v>
      </c>
      <c r="G35" s="11" t="s">
        <v>47</v>
      </c>
      <c r="H35" s="1" t="s">
        <v>48</v>
      </c>
      <c r="I35" s="1" t="s">
        <v>49</v>
      </c>
      <c r="J35" s="12">
        <v>25569.33363425926</v>
      </c>
      <c r="K35" s="1" t="s">
        <v>190</v>
      </c>
      <c r="L35" s="1"/>
      <c r="M35" s="11" t="s">
        <v>51</v>
      </c>
      <c r="N35" s="1" t="s">
        <v>191</v>
      </c>
      <c r="O35" s="1"/>
      <c r="P35" s="1" t="s">
        <v>53</v>
      </c>
      <c r="Q35" s="1" t="s">
        <v>192</v>
      </c>
      <c r="R35" s="1"/>
      <c r="S35" s="1"/>
      <c r="T35" s="1"/>
      <c r="U35" s="1"/>
      <c r="V35" s="1"/>
      <c r="W35" s="1"/>
      <c r="X35" s="1"/>
      <c r="Y35" s="1" t="s">
        <v>138</v>
      </c>
      <c r="Z35" s="1" t="s">
        <v>56</v>
      </c>
    </row>
    <row x14ac:dyDescent="0.25" r="36" customHeight="1" ht="20.25">
      <c r="A36" s="10">
        <f>_xlfn.CONCAT("NodeRed-7-",TEXT(ROW()-1,"000000"))</f>
      </c>
      <c r="B36" s="1"/>
      <c r="C36" s="11" t="s">
        <v>43</v>
      </c>
      <c r="D36" s="11" t="s">
        <v>44</v>
      </c>
      <c r="E36" s="11" t="s">
        <v>45</v>
      </c>
      <c r="F36" s="11" t="s">
        <v>46</v>
      </c>
      <c r="G36" s="11" t="s">
        <v>47</v>
      </c>
      <c r="H36" s="1" t="s">
        <v>79</v>
      </c>
      <c r="I36" s="1" t="s">
        <v>49</v>
      </c>
      <c r="J36" s="12">
        <v>25569.33363425926</v>
      </c>
      <c r="K36" s="1" t="s">
        <v>193</v>
      </c>
      <c r="L36" s="1"/>
      <c r="M36" s="11" t="s">
        <v>51</v>
      </c>
      <c r="N36" s="1" t="s">
        <v>194</v>
      </c>
      <c r="O36" s="1"/>
      <c r="P36" s="1" t="s">
        <v>53</v>
      </c>
      <c r="Q36" s="1" t="s">
        <v>195</v>
      </c>
      <c r="R36" s="1"/>
      <c r="S36" s="1"/>
      <c r="T36" s="1"/>
      <c r="U36" s="1"/>
      <c r="V36" s="1"/>
      <c r="W36" s="1"/>
      <c r="X36" s="1"/>
      <c r="Y36" s="1" t="s">
        <v>138</v>
      </c>
      <c r="Z36" s="1" t="s">
        <v>96</v>
      </c>
    </row>
    <row x14ac:dyDescent="0.25" r="37" customHeight="1" ht="20.25">
      <c r="A37" s="10">
        <f>_xlfn.CONCAT("NodeRed-7-",TEXT(ROW()-1,"000000"))</f>
      </c>
      <c r="B37" s="1"/>
      <c r="C37" s="11" t="s">
        <v>43</v>
      </c>
      <c r="D37" s="11" t="s">
        <v>44</v>
      </c>
      <c r="E37" s="11" t="s">
        <v>45</v>
      </c>
      <c r="F37" s="11" t="s">
        <v>46</v>
      </c>
      <c r="G37" s="11" t="s">
        <v>47</v>
      </c>
      <c r="H37" s="1" t="s">
        <v>196</v>
      </c>
      <c r="I37" s="1" t="s">
        <v>49</v>
      </c>
      <c r="J37" s="12">
        <v>25569.33363425926</v>
      </c>
      <c r="K37" s="1" t="s">
        <v>197</v>
      </c>
      <c r="L37" s="1"/>
      <c r="M37" s="11" t="s">
        <v>51</v>
      </c>
      <c r="N37" s="1" t="s">
        <v>198</v>
      </c>
      <c r="O37" s="1"/>
      <c r="P37" s="1" t="s">
        <v>167</v>
      </c>
      <c r="Q37" s="1" t="s">
        <v>199</v>
      </c>
      <c r="R37" s="1"/>
      <c r="S37" s="1"/>
      <c r="T37" s="1"/>
      <c r="U37" s="1"/>
      <c r="V37" s="1"/>
      <c r="W37" s="1"/>
      <c r="X37" s="1"/>
      <c r="Y37" s="1" t="s">
        <v>138</v>
      </c>
      <c r="Z37" s="1" t="s">
        <v>169</v>
      </c>
    </row>
    <row x14ac:dyDescent="0.25" r="38" customHeight="1" ht="20.25">
      <c r="A38" s="10">
        <f>_xlfn.CONCAT("NodeRed-7-",TEXT(ROW()-1,"000000"))</f>
      </c>
      <c r="B38" s="1"/>
      <c r="C38" s="11" t="s">
        <v>43</v>
      </c>
      <c r="D38" s="11" t="s">
        <v>44</v>
      </c>
      <c r="E38" s="11" t="s">
        <v>45</v>
      </c>
      <c r="F38" s="11" t="s">
        <v>46</v>
      </c>
      <c r="G38" s="11" t="s">
        <v>47</v>
      </c>
      <c r="H38" s="1" t="s">
        <v>200</v>
      </c>
      <c r="I38" s="1" t="s">
        <v>49</v>
      </c>
      <c r="J38" s="12">
        <v>25569.33363425926</v>
      </c>
      <c r="K38" s="1" t="s">
        <v>201</v>
      </c>
      <c r="L38" s="1"/>
      <c r="M38" s="11" t="s">
        <v>51</v>
      </c>
      <c r="N38" s="1" t="s">
        <v>202</v>
      </c>
      <c r="O38" s="1"/>
      <c r="P38" s="1" t="s">
        <v>203</v>
      </c>
      <c r="Q38" s="1" t="s">
        <v>204</v>
      </c>
      <c r="R38" s="1"/>
      <c r="S38" s="1"/>
      <c r="T38" s="1"/>
      <c r="U38" s="1"/>
      <c r="V38" s="1"/>
      <c r="W38" s="1"/>
      <c r="X38" s="1"/>
      <c r="Y38" s="1" t="s">
        <v>138</v>
      </c>
      <c r="Z38" s="1" t="s">
        <v>96</v>
      </c>
    </row>
    <row x14ac:dyDescent="0.25" r="39" customHeight="1" ht="20.25">
      <c r="A39" s="10">
        <f>_xlfn.CONCAT("NodeRed-7-",TEXT(ROW()-1,"000000"))</f>
      </c>
      <c r="B39" s="1"/>
      <c r="C39" s="11" t="s">
        <v>43</v>
      </c>
      <c r="D39" s="11" t="s">
        <v>44</v>
      </c>
      <c r="E39" s="11" t="s">
        <v>45</v>
      </c>
      <c r="F39" s="11" t="s">
        <v>46</v>
      </c>
      <c r="G39" s="11" t="s">
        <v>47</v>
      </c>
      <c r="H39" s="1" t="s">
        <v>205</v>
      </c>
      <c r="I39" s="1" t="s">
        <v>49</v>
      </c>
      <c r="J39" s="12">
        <v>25569.33363425926</v>
      </c>
      <c r="K39" s="1" t="s">
        <v>206</v>
      </c>
      <c r="L39" s="1"/>
      <c r="M39" s="11" t="s">
        <v>51</v>
      </c>
      <c r="N39" s="1" t="s">
        <v>207</v>
      </c>
      <c r="O39" s="1"/>
      <c r="P39" s="1" t="s">
        <v>208</v>
      </c>
      <c r="Q39" s="1" t="s">
        <v>209</v>
      </c>
      <c r="R39" s="1"/>
      <c r="S39" s="1"/>
      <c r="T39" s="1"/>
      <c r="U39" s="1"/>
      <c r="V39" s="1"/>
      <c r="W39" s="1"/>
      <c r="X39" s="1"/>
      <c r="Y39" s="1" t="s">
        <v>138</v>
      </c>
      <c r="Z39" s="1" t="s">
        <v>72</v>
      </c>
    </row>
    <row x14ac:dyDescent="0.25" r="40" customHeight="1" ht="20.25">
      <c r="A40" s="10">
        <f>_xlfn.CONCAT("NodeRed-7-",TEXT(ROW()-1,"000000"))</f>
      </c>
      <c r="B40" s="1"/>
      <c r="C40" s="11" t="s">
        <v>43</v>
      </c>
      <c r="D40" s="11" t="s">
        <v>44</v>
      </c>
      <c r="E40" s="11" t="s">
        <v>45</v>
      </c>
      <c r="F40" s="11" t="s">
        <v>46</v>
      </c>
      <c r="G40" s="11" t="s">
        <v>47</v>
      </c>
      <c r="H40" s="1" t="s">
        <v>210</v>
      </c>
      <c r="I40" s="1" t="s">
        <v>49</v>
      </c>
      <c r="J40" s="12">
        <v>25569.33363425926</v>
      </c>
      <c r="K40" s="1" t="s">
        <v>211</v>
      </c>
      <c r="L40" s="1"/>
      <c r="M40" s="11" t="s">
        <v>51</v>
      </c>
      <c r="N40" s="1" t="s">
        <v>212</v>
      </c>
      <c r="O40" s="1"/>
      <c r="P40" s="1" t="s">
        <v>213</v>
      </c>
      <c r="Q40" s="1" t="s">
        <v>214</v>
      </c>
      <c r="R40" s="1"/>
      <c r="S40" s="1"/>
      <c r="T40" s="1"/>
      <c r="U40" s="1"/>
      <c r="V40" s="1"/>
      <c r="W40" s="1"/>
      <c r="X40" s="1"/>
      <c r="Y40" s="1" t="s">
        <v>138</v>
      </c>
      <c r="Z40" s="1" t="s">
        <v>215</v>
      </c>
    </row>
    <row x14ac:dyDescent="0.25" r="41" customHeight="1" ht="20.25">
      <c r="A41" s="10">
        <f>_xlfn.CONCAT("NodeRed-7-",TEXT(ROW()-1,"000000"))</f>
      </c>
      <c r="B41" s="1"/>
      <c r="C41" s="11" t="s">
        <v>43</v>
      </c>
      <c r="D41" s="11" t="s">
        <v>44</v>
      </c>
      <c r="E41" s="11" t="s">
        <v>45</v>
      </c>
      <c r="F41" s="11" t="s">
        <v>46</v>
      </c>
      <c r="G41" s="11" t="s">
        <v>47</v>
      </c>
      <c r="H41" s="1" t="s">
        <v>216</v>
      </c>
      <c r="I41" s="1" t="s">
        <v>49</v>
      </c>
      <c r="J41" s="12">
        <v>25569.33363425926</v>
      </c>
      <c r="K41" s="1" t="s">
        <v>217</v>
      </c>
      <c r="L41" s="1"/>
      <c r="M41" s="11" t="s">
        <v>51</v>
      </c>
      <c r="N41" s="1" t="s">
        <v>218</v>
      </c>
      <c r="O41" s="1"/>
      <c r="P41" s="1" t="s">
        <v>219</v>
      </c>
      <c r="Q41" s="1" t="s">
        <v>220</v>
      </c>
      <c r="R41" s="1"/>
      <c r="S41" s="1"/>
      <c r="T41" s="1"/>
      <c r="U41" s="1"/>
      <c r="V41" s="1"/>
      <c r="W41" s="1"/>
      <c r="X41" s="1"/>
      <c r="Y41" s="1" t="s">
        <v>138</v>
      </c>
      <c r="Z41" s="1" t="s">
        <v>221</v>
      </c>
    </row>
    <row x14ac:dyDescent="0.25" r="42" customHeight="1" ht="20.25">
      <c r="A42" s="10">
        <f>_xlfn.CONCAT("NodeRed-7-",TEXT(ROW()-1,"000000"))</f>
      </c>
      <c r="B42" s="1"/>
      <c r="C42" s="11" t="s">
        <v>43</v>
      </c>
      <c r="D42" s="11" t="s">
        <v>44</v>
      </c>
      <c r="E42" s="11" t="s">
        <v>45</v>
      </c>
      <c r="F42" s="11" t="s">
        <v>46</v>
      </c>
      <c r="G42" s="11" t="s">
        <v>47</v>
      </c>
      <c r="H42" s="1" t="s">
        <v>222</v>
      </c>
      <c r="I42" s="1" t="s">
        <v>49</v>
      </c>
      <c r="J42" s="12">
        <v>25569.33363425926</v>
      </c>
      <c r="K42" s="1" t="s">
        <v>223</v>
      </c>
      <c r="L42" s="1"/>
      <c r="M42" s="11" t="s">
        <v>51</v>
      </c>
      <c r="N42" s="1" t="s">
        <v>224</v>
      </c>
      <c r="O42" s="1"/>
      <c r="P42" s="1" t="s">
        <v>225</v>
      </c>
      <c r="Q42" s="1" t="s">
        <v>226</v>
      </c>
      <c r="R42" s="1"/>
      <c r="S42" s="1"/>
      <c r="T42" s="1"/>
      <c r="U42" s="1"/>
      <c r="V42" s="1"/>
      <c r="W42" s="1"/>
      <c r="X42" s="1"/>
      <c r="Y42" s="1" t="s">
        <v>227</v>
      </c>
      <c r="Z42" s="1" t="s">
        <v>228</v>
      </c>
    </row>
    <row x14ac:dyDescent="0.25" r="43" customHeight="1" ht="20.25">
      <c r="A43" s="10">
        <f>_xlfn.CONCAT("NodeRed-7-",TEXT(ROW()-1,"000000"))</f>
      </c>
      <c r="B43" s="1"/>
      <c r="C43" s="11" t="s">
        <v>43</v>
      </c>
      <c r="D43" s="11" t="s">
        <v>44</v>
      </c>
      <c r="E43" s="11" t="s">
        <v>45</v>
      </c>
      <c r="F43" s="11" t="s">
        <v>46</v>
      </c>
      <c r="G43" s="11" t="s">
        <v>47</v>
      </c>
      <c r="H43" s="1" t="s">
        <v>79</v>
      </c>
      <c r="I43" s="1" t="s">
        <v>49</v>
      </c>
      <c r="J43" s="12">
        <v>25569.33363425926</v>
      </c>
      <c r="K43" s="1" t="s">
        <v>229</v>
      </c>
      <c r="L43" s="1"/>
      <c r="M43" s="11" t="s">
        <v>51</v>
      </c>
      <c r="N43" s="1" t="s">
        <v>230</v>
      </c>
      <c r="O43" s="1"/>
      <c r="P43" s="1" t="s">
        <v>53</v>
      </c>
      <c r="Q43" s="1" t="s">
        <v>231</v>
      </c>
      <c r="R43" s="1"/>
      <c r="S43" s="1"/>
      <c r="T43" s="1"/>
      <c r="U43" s="1"/>
      <c r="V43" s="1"/>
      <c r="W43" s="1"/>
      <c r="X43" s="1"/>
      <c r="Y43" s="1" t="s">
        <v>227</v>
      </c>
      <c r="Z43" s="1" t="s">
        <v>96</v>
      </c>
    </row>
    <row x14ac:dyDescent="0.25" r="44" customHeight="1" ht="20.25">
      <c r="A44" s="10">
        <f>_xlfn.CONCAT("NodeRed-7-",TEXT(ROW()-1,"000000"))</f>
      </c>
      <c r="B44" s="1"/>
      <c r="C44" s="11" t="s">
        <v>43</v>
      </c>
      <c r="D44" s="11" t="s">
        <v>44</v>
      </c>
      <c r="E44" s="11" t="s">
        <v>45</v>
      </c>
      <c r="F44" s="11" t="s">
        <v>46</v>
      </c>
      <c r="G44" s="11" t="s">
        <v>47</v>
      </c>
      <c r="H44" s="1" t="s">
        <v>111</v>
      </c>
      <c r="I44" s="1" t="s">
        <v>49</v>
      </c>
      <c r="J44" s="12">
        <v>25569.33363425926</v>
      </c>
      <c r="K44" s="1" t="s">
        <v>232</v>
      </c>
      <c r="L44" s="1"/>
      <c r="M44" s="11" t="s">
        <v>51</v>
      </c>
      <c r="N44" s="1" t="s">
        <v>233</v>
      </c>
      <c r="O44" s="1"/>
      <c r="P44" s="1" t="s">
        <v>53</v>
      </c>
      <c r="Q44" s="1" t="s">
        <v>234</v>
      </c>
      <c r="R44" s="1"/>
      <c r="S44" s="1"/>
      <c r="T44" s="1"/>
      <c r="U44" s="1"/>
      <c r="V44" s="1"/>
      <c r="W44" s="1"/>
      <c r="X44" s="1"/>
      <c r="Y44" s="1" t="s">
        <v>227</v>
      </c>
      <c r="Z44" s="1" t="s">
        <v>96</v>
      </c>
    </row>
    <row x14ac:dyDescent="0.25" r="45" customHeight="1" ht="20.25">
      <c r="A45" s="10">
        <f>_xlfn.CONCAT("NodeRed-7-",TEXT(ROW()-1,"000000"))</f>
      </c>
      <c r="B45" s="1"/>
      <c r="C45" s="11" t="s">
        <v>43</v>
      </c>
      <c r="D45" s="11" t="s">
        <v>44</v>
      </c>
      <c r="E45" s="11" t="s">
        <v>45</v>
      </c>
      <c r="F45" s="11" t="s">
        <v>46</v>
      </c>
      <c r="G45" s="11" t="s">
        <v>47</v>
      </c>
      <c r="H45" s="1" t="s">
        <v>235</v>
      </c>
      <c r="I45" s="1" t="s">
        <v>49</v>
      </c>
      <c r="J45" s="12">
        <v>25569.33363425926</v>
      </c>
      <c r="K45" s="1" t="s">
        <v>236</v>
      </c>
      <c r="L45" s="1"/>
      <c r="M45" s="11" t="s">
        <v>51</v>
      </c>
      <c r="N45" s="1" t="s">
        <v>237</v>
      </c>
      <c r="O45" s="1"/>
      <c r="P45" s="1" t="s">
        <v>238</v>
      </c>
      <c r="Q45" s="1" t="s">
        <v>239</v>
      </c>
      <c r="R45" s="1"/>
      <c r="S45" s="1"/>
      <c r="T45" s="1"/>
      <c r="U45" s="1"/>
      <c r="V45" s="1"/>
      <c r="W45" s="1"/>
      <c r="X45" s="1"/>
      <c r="Y45" s="1" t="s">
        <v>227</v>
      </c>
      <c r="Z45" s="1" t="s">
        <v>110</v>
      </c>
    </row>
    <row x14ac:dyDescent="0.25" r="46" customHeight="1" ht="20.25">
      <c r="A46" s="10">
        <f>_xlfn.CONCAT("NodeRed-7-",TEXT(ROW()-1,"000000"))</f>
      </c>
      <c r="B46" s="1"/>
      <c r="C46" s="11" t="s">
        <v>43</v>
      </c>
      <c r="D46" s="11" t="s">
        <v>44</v>
      </c>
      <c r="E46" s="11" t="s">
        <v>45</v>
      </c>
      <c r="F46" s="11" t="s">
        <v>46</v>
      </c>
      <c r="G46" s="11" t="s">
        <v>47</v>
      </c>
      <c r="H46" s="1" t="s">
        <v>57</v>
      </c>
      <c r="I46" s="1" t="s">
        <v>49</v>
      </c>
      <c r="J46" s="12">
        <v>25569.33363425926</v>
      </c>
      <c r="K46" s="1" t="s">
        <v>240</v>
      </c>
      <c r="L46" s="1"/>
      <c r="M46" s="11" t="s">
        <v>51</v>
      </c>
      <c r="N46" s="1" t="s">
        <v>241</v>
      </c>
      <c r="O46" s="1"/>
      <c r="P46" s="1" t="s">
        <v>53</v>
      </c>
      <c r="Q46" s="1" t="s">
        <v>242</v>
      </c>
      <c r="R46" s="1"/>
      <c r="S46" s="1"/>
      <c r="T46" s="1"/>
      <c r="U46" s="1"/>
      <c r="V46" s="1"/>
      <c r="W46" s="1"/>
      <c r="X46" s="1"/>
      <c r="Y46" s="1" t="s">
        <v>227</v>
      </c>
      <c r="Z46" s="1" t="s">
        <v>56</v>
      </c>
    </row>
    <row x14ac:dyDescent="0.25" r="47" customHeight="1" ht="20.25">
      <c r="A47" s="10">
        <f>_xlfn.CONCAT("NodeRed-7-",TEXT(ROW()-1,"000000"))</f>
      </c>
      <c r="B47" s="1"/>
      <c r="C47" s="11" t="s">
        <v>43</v>
      </c>
      <c r="D47" s="11" t="s">
        <v>44</v>
      </c>
      <c r="E47" s="11" t="s">
        <v>45</v>
      </c>
      <c r="F47" s="11" t="s">
        <v>46</v>
      </c>
      <c r="G47" s="11" t="s">
        <v>47</v>
      </c>
      <c r="H47" s="1" t="s">
        <v>48</v>
      </c>
      <c r="I47" s="1" t="s">
        <v>49</v>
      </c>
      <c r="J47" s="12">
        <v>25569.33363425926</v>
      </c>
      <c r="K47" s="1" t="s">
        <v>243</v>
      </c>
      <c r="L47" s="1"/>
      <c r="M47" s="11" t="s">
        <v>51</v>
      </c>
      <c r="N47" s="1" t="s">
        <v>244</v>
      </c>
      <c r="O47" s="1"/>
      <c r="P47" s="1" t="s">
        <v>53</v>
      </c>
      <c r="Q47" s="1" t="s">
        <v>245</v>
      </c>
      <c r="R47" s="1"/>
      <c r="S47" s="1"/>
      <c r="T47" s="1"/>
      <c r="U47" s="1"/>
      <c r="V47" s="1"/>
      <c r="W47" s="1"/>
      <c r="X47" s="1"/>
      <c r="Y47" s="1" t="s">
        <v>227</v>
      </c>
      <c r="Z47" s="1" t="s">
        <v>56</v>
      </c>
    </row>
    <row x14ac:dyDescent="0.25" r="48" customHeight="1" ht="20.25">
      <c r="A48" s="10">
        <f>_xlfn.CONCAT("NodeRed-7-",TEXT(ROW()-1,"000000"))</f>
      </c>
      <c r="B48" s="1"/>
      <c r="C48" s="11" t="s">
        <v>43</v>
      </c>
      <c r="D48" s="11" t="s">
        <v>44</v>
      </c>
      <c r="E48" s="11" t="s">
        <v>45</v>
      </c>
      <c r="F48" s="11" t="s">
        <v>46</v>
      </c>
      <c r="G48" s="11" t="s">
        <v>47</v>
      </c>
      <c r="H48" s="1" t="s">
        <v>246</v>
      </c>
      <c r="I48" s="1" t="s">
        <v>49</v>
      </c>
      <c r="J48" s="12">
        <v>25569.33363425926</v>
      </c>
      <c r="K48" s="1" t="s">
        <v>247</v>
      </c>
      <c r="L48" s="1"/>
      <c r="M48" s="11" t="s">
        <v>51</v>
      </c>
      <c r="N48" s="1" t="s">
        <v>248</v>
      </c>
      <c r="O48" s="1"/>
      <c r="P48" s="1" t="s">
        <v>249</v>
      </c>
      <c r="Q48" s="1" t="s">
        <v>250</v>
      </c>
      <c r="R48" s="1"/>
      <c r="S48" s="1"/>
      <c r="T48" s="1"/>
      <c r="U48" s="1"/>
      <c r="V48" s="1"/>
      <c r="W48" s="1"/>
      <c r="X48" s="1"/>
      <c r="Y48" s="1" t="s">
        <v>251</v>
      </c>
      <c r="Z48" s="1" t="s">
        <v>72</v>
      </c>
    </row>
    <row x14ac:dyDescent="0.25" r="49" customHeight="1" ht="20.25">
      <c r="A49" s="10">
        <f>_xlfn.CONCAT("NodeRed-7-",TEXT(ROW()-1,"000000"))</f>
      </c>
      <c r="B49" s="1"/>
      <c r="C49" s="11" t="s">
        <v>43</v>
      </c>
      <c r="D49" s="11" t="s">
        <v>44</v>
      </c>
      <c r="E49" s="11" t="s">
        <v>45</v>
      </c>
      <c r="F49" s="11" t="s">
        <v>46</v>
      </c>
      <c r="G49" s="11" t="s">
        <v>47</v>
      </c>
      <c r="H49" s="1" t="s">
        <v>252</v>
      </c>
      <c r="I49" s="1" t="s">
        <v>49</v>
      </c>
      <c r="J49" s="12">
        <v>25569.33363425926</v>
      </c>
      <c r="K49" s="1" t="s">
        <v>253</v>
      </c>
      <c r="L49" s="1"/>
      <c r="M49" s="11" t="s">
        <v>51</v>
      </c>
      <c r="N49" s="1" t="s">
        <v>254</v>
      </c>
      <c r="O49" s="1"/>
      <c r="P49" s="1" t="s">
        <v>255</v>
      </c>
      <c r="Q49" s="1" t="s">
        <v>256</v>
      </c>
      <c r="R49" s="1"/>
      <c r="S49" s="1"/>
      <c r="T49" s="1"/>
      <c r="U49" s="1"/>
      <c r="V49" s="1"/>
      <c r="W49" s="1"/>
      <c r="X49" s="1"/>
      <c r="Y49" s="1" t="s">
        <v>257</v>
      </c>
      <c r="Z49" s="1" t="s">
        <v>258</v>
      </c>
    </row>
    <row x14ac:dyDescent="0.25" r="50" customHeight="1" ht="20.25">
      <c r="A50" s="10">
        <f>_xlfn.CONCAT("NodeRed-7-",TEXT(ROW()-1,"000000"))</f>
      </c>
      <c r="B50" s="1"/>
      <c r="C50" s="11" t="s">
        <v>43</v>
      </c>
      <c r="D50" s="11" t="s">
        <v>44</v>
      </c>
      <c r="E50" s="11" t="s">
        <v>45</v>
      </c>
      <c r="F50" s="11" t="s">
        <v>46</v>
      </c>
      <c r="G50" s="11" t="s">
        <v>47</v>
      </c>
      <c r="H50" s="1" t="s">
        <v>259</v>
      </c>
      <c r="I50" s="1" t="s">
        <v>49</v>
      </c>
      <c r="J50" s="12">
        <v>25569.33363425926</v>
      </c>
      <c r="K50" s="1" t="s">
        <v>260</v>
      </c>
      <c r="L50" s="1"/>
      <c r="M50" s="11" t="s">
        <v>51</v>
      </c>
      <c r="N50" s="1" t="s">
        <v>261</v>
      </c>
      <c r="O50" s="1"/>
      <c r="P50" s="1" t="s">
        <v>262</v>
      </c>
      <c r="Q50" s="1" t="s">
        <v>263</v>
      </c>
      <c r="R50" s="1"/>
      <c r="S50" s="1"/>
      <c r="T50" s="1"/>
      <c r="U50" s="1"/>
      <c r="V50" s="1"/>
      <c r="W50" s="1"/>
      <c r="X50" s="1"/>
      <c r="Y50" s="1" t="s">
        <v>227</v>
      </c>
      <c r="Z50" s="1" t="s">
        <v>110</v>
      </c>
    </row>
    <row x14ac:dyDescent="0.25" r="51" customHeight="1" ht="20.25">
      <c r="A51" s="10">
        <f>_xlfn.CONCAT("NodeRed-7-",TEXT(ROW()-1,"000000"))</f>
      </c>
      <c r="B51" s="1"/>
      <c r="C51" s="11" t="s">
        <v>43</v>
      </c>
      <c r="D51" s="11" t="s">
        <v>44</v>
      </c>
      <c r="E51" s="11" t="s">
        <v>45</v>
      </c>
      <c r="F51" s="11" t="s">
        <v>46</v>
      </c>
      <c r="G51" s="11" t="s">
        <v>47</v>
      </c>
      <c r="H51" s="1" t="s">
        <v>111</v>
      </c>
      <c r="I51" s="1" t="s">
        <v>49</v>
      </c>
      <c r="J51" s="12">
        <v>25569.33363425926</v>
      </c>
      <c r="K51" s="1" t="s">
        <v>264</v>
      </c>
      <c r="L51" s="1"/>
      <c r="M51" s="11" t="s">
        <v>51</v>
      </c>
      <c r="N51" s="1" t="s">
        <v>265</v>
      </c>
      <c r="O51" s="1"/>
      <c r="P51" s="1" t="s">
        <v>53</v>
      </c>
      <c r="Q51" s="1" t="s">
        <v>266</v>
      </c>
      <c r="R51" s="1"/>
      <c r="S51" s="1"/>
      <c r="T51" s="1"/>
      <c r="U51" s="1"/>
      <c r="V51" s="1"/>
      <c r="W51" s="1"/>
      <c r="X51" s="1"/>
      <c r="Y51" s="1" t="s">
        <v>227</v>
      </c>
      <c r="Z51" s="1" t="s">
        <v>96</v>
      </c>
    </row>
    <row x14ac:dyDescent="0.25" r="52" customHeight="1" ht="20.25">
      <c r="A52" s="10">
        <f>_xlfn.CONCAT("NodeRed-7-",TEXT(ROW()-1,"000000"))</f>
      </c>
      <c r="B52" s="1"/>
      <c r="C52" s="11" t="s">
        <v>43</v>
      </c>
      <c r="D52" s="11" t="s">
        <v>44</v>
      </c>
      <c r="E52" s="11" t="s">
        <v>45</v>
      </c>
      <c r="F52" s="11" t="s">
        <v>46</v>
      </c>
      <c r="G52" s="11" t="s">
        <v>47</v>
      </c>
      <c r="H52" s="1" t="s">
        <v>48</v>
      </c>
      <c r="I52" s="1" t="s">
        <v>49</v>
      </c>
      <c r="J52" s="12">
        <v>25569.33363425926</v>
      </c>
      <c r="K52" s="1" t="s">
        <v>267</v>
      </c>
      <c r="L52" s="1"/>
      <c r="M52" s="11" t="s">
        <v>51</v>
      </c>
      <c r="N52" s="1" t="s">
        <v>268</v>
      </c>
      <c r="O52" s="1"/>
      <c r="P52" s="1" t="s">
        <v>53</v>
      </c>
      <c r="Q52" s="1" t="s">
        <v>269</v>
      </c>
      <c r="R52" s="1"/>
      <c r="S52" s="1"/>
      <c r="T52" s="1"/>
      <c r="U52" s="1"/>
      <c r="V52" s="1"/>
      <c r="W52" s="1"/>
      <c r="X52" s="1"/>
      <c r="Y52" s="1" t="s">
        <v>227</v>
      </c>
      <c r="Z52" s="1" t="s">
        <v>56</v>
      </c>
    </row>
    <row x14ac:dyDescent="0.25" r="53" customHeight="1" ht="20.25">
      <c r="A53" s="10">
        <f>_xlfn.CONCAT("NodeRed-7-",TEXT(ROW()-1,"000000"))</f>
      </c>
      <c r="B53" s="1"/>
      <c r="C53" s="11" t="s">
        <v>43</v>
      </c>
      <c r="D53" s="11" t="s">
        <v>44</v>
      </c>
      <c r="E53" s="11" t="s">
        <v>45</v>
      </c>
      <c r="F53" s="11" t="s">
        <v>46</v>
      </c>
      <c r="G53" s="11" t="s">
        <v>47</v>
      </c>
      <c r="H53" s="1" t="s">
        <v>79</v>
      </c>
      <c r="I53" s="1" t="s">
        <v>49</v>
      </c>
      <c r="J53" s="12">
        <v>25569.33363425926</v>
      </c>
      <c r="K53" s="1" t="s">
        <v>270</v>
      </c>
      <c r="L53" s="1"/>
      <c r="M53" s="11" t="s">
        <v>51</v>
      </c>
      <c r="N53" s="1" t="s">
        <v>271</v>
      </c>
      <c r="O53" s="1"/>
      <c r="P53" s="1" t="s">
        <v>53</v>
      </c>
      <c r="Q53" s="1" t="s">
        <v>272</v>
      </c>
      <c r="R53" s="1"/>
      <c r="S53" s="1"/>
      <c r="T53" s="1"/>
      <c r="U53" s="1"/>
      <c r="V53" s="1"/>
      <c r="W53" s="1"/>
      <c r="X53" s="1"/>
      <c r="Y53" s="1" t="s">
        <v>227</v>
      </c>
      <c r="Z53" s="1" t="s">
        <v>96</v>
      </c>
    </row>
    <row x14ac:dyDescent="0.25" r="54" customHeight="1" ht="20.25">
      <c r="A54" s="10">
        <f>_xlfn.CONCAT("NodeRed-7-",TEXT(ROW()-1,"000000"))</f>
      </c>
      <c r="B54" s="1"/>
      <c r="C54" s="11" t="s">
        <v>43</v>
      </c>
      <c r="D54" s="11" t="s">
        <v>44</v>
      </c>
      <c r="E54" s="11" t="s">
        <v>45</v>
      </c>
      <c r="F54" s="11" t="s">
        <v>46</v>
      </c>
      <c r="G54" s="11" t="s">
        <v>47</v>
      </c>
      <c r="H54" s="1" t="s">
        <v>273</v>
      </c>
      <c r="I54" s="1" t="s">
        <v>49</v>
      </c>
      <c r="J54" s="12">
        <v>25569.33363425926</v>
      </c>
      <c r="K54" s="1" t="s">
        <v>274</v>
      </c>
      <c r="L54" s="1"/>
      <c r="M54" s="11" t="s">
        <v>51</v>
      </c>
      <c r="N54" s="1" t="s">
        <v>275</v>
      </c>
      <c r="O54" s="1"/>
      <c r="P54" s="1" t="s">
        <v>276</v>
      </c>
      <c r="Q54" s="1" t="s">
        <v>277</v>
      </c>
      <c r="R54" s="1"/>
      <c r="S54" s="1"/>
      <c r="T54" s="1"/>
      <c r="U54" s="1"/>
      <c r="V54" s="1"/>
      <c r="W54" s="1"/>
      <c r="X54" s="1"/>
      <c r="Y54" s="1" t="s">
        <v>227</v>
      </c>
      <c r="Z54" s="1" t="s">
        <v>228</v>
      </c>
    </row>
    <row x14ac:dyDescent="0.25" r="55" customHeight="1" ht="20.25">
      <c r="A55" s="10">
        <f>_xlfn.CONCAT("NodeRed-7-",TEXT(ROW()-1,"000000"))</f>
      </c>
      <c r="B55" s="1"/>
      <c r="C55" s="11" t="s">
        <v>43</v>
      </c>
      <c r="D55" s="11" t="s">
        <v>44</v>
      </c>
      <c r="E55" s="11" t="s">
        <v>45</v>
      </c>
      <c r="F55" s="11" t="s">
        <v>46</v>
      </c>
      <c r="G55" s="11" t="s">
        <v>47</v>
      </c>
      <c r="H55" s="1" t="s">
        <v>57</v>
      </c>
      <c r="I55" s="1" t="s">
        <v>49</v>
      </c>
      <c r="J55" s="12">
        <v>25569.33363425926</v>
      </c>
      <c r="K55" s="1" t="s">
        <v>278</v>
      </c>
      <c r="L55" s="1"/>
      <c r="M55" s="11" t="s">
        <v>51</v>
      </c>
      <c r="N55" s="1" t="s">
        <v>279</v>
      </c>
      <c r="O55" s="1"/>
      <c r="P55" s="1" t="s">
        <v>53</v>
      </c>
      <c r="Q55" s="1" t="s">
        <v>280</v>
      </c>
      <c r="R55" s="1"/>
      <c r="S55" s="1"/>
      <c r="T55" s="1"/>
      <c r="U55" s="1"/>
      <c r="V55" s="1"/>
      <c r="W55" s="1"/>
      <c r="X55" s="1"/>
      <c r="Y55" s="1" t="s">
        <v>227</v>
      </c>
      <c r="Z55" s="1" t="s">
        <v>56</v>
      </c>
    </row>
    <row x14ac:dyDescent="0.25" r="56" customHeight="1" ht="20.25">
      <c r="A56" s="10">
        <f>_xlfn.CONCAT("NodeRed-7-",TEXT(ROW()-1,"000000"))</f>
      </c>
      <c r="B56" s="1"/>
      <c r="C56" s="11" t="s">
        <v>43</v>
      </c>
      <c r="D56" s="11" t="s">
        <v>44</v>
      </c>
      <c r="E56" s="11" t="s">
        <v>45</v>
      </c>
      <c r="F56" s="11" t="s">
        <v>46</v>
      </c>
      <c r="G56" s="11" t="s">
        <v>47</v>
      </c>
      <c r="H56" s="1" t="s">
        <v>57</v>
      </c>
      <c r="I56" s="1" t="s">
        <v>49</v>
      </c>
      <c r="J56" s="12">
        <v>25569.33363425926</v>
      </c>
      <c r="K56" s="1" t="s">
        <v>281</v>
      </c>
      <c r="L56" s="1"/>
      <c r="M56" s="11" t="s">
        <v>51</v>
      </c>
      <c r="N56" s="1" t="s">
        <v>282</v>
      </c>
      <c r="O56" s="1"/>
      <c r="P56" s="1" t="s">
        <v>53</v>
      </c>
      <c r="Q56" s="1" t="s">
        <v>283</v>
      </c>
      <c r="R56" s="1"/>
      <c r="S56" s="1"/>
      <c r="T56" s="1"/>
      <c r="U56" s="1"/>
      <c r="V56" s="1"/>
      <c r="W56" s="1"/>
      <c r="X56" s="1"/>
      <c r="Y56" s="1" t="s">
        <v>227</v>
      </c>
      <c r="Z56" s="1" t="s">
        <v>56</v>
      </c>
    </row>
    <row x14ac:dyDescent="0.25" r="57" customHeight="1" ht="20.25">
      <c r="A57" s="10">
        <f>_xlfn.CONCAT("NodeRed-7-",TEXT(ROW()-1,"000000"))</f>
      </c>
      <c r="B57" s="1"/>
      <c r="C57" s="11" t="s">
        <v>43</v>
      </c>
      <c r="D57" s="11" t="s">
        <v>44</v>
      </c>
      <c r="E57" s="11" t="s">
        <v>45</v>
      </c>
      <c r="F57" s="11" t="s">
        <v>46</v>
      </c>
      <c r="G57" s="11" t="s">
        <v>47</v>
      </c>
      <c r="H57" s="1" t="s">
        <v>57</v>
      </c>
      <c r="I57" s="1" t="s">
        <v>49</v>
      </c>
      <c r="J57" s="12">
        <v>25569.33363425926</v>
      </c>
      <c r="K57" s="1" t="s">
        <v>284</v>
      </c>
      <c r="L57" s="1"/>
      <c r="M57" s="11" t="s">
        <v>51</v>
      </c>
      <c r="N57" s="1" t="s">
        <v>285</v>
      </c>
      <c r="O57" s="1"/>
      <c r="P57" s="1" t="s">
        <v>53</v>
      </c>
      <c r="Q57" s="1" t="s">
        <v>286</v>
      </c>
      <c r="R57" s="1"/>
      <c r="S57" s="1"/>
      <c r="T57" s="1"/>
      <c r="U57" s="1"/>
      <c r="V57" s="1"/>
      <c r="W57" s="1"/>
      <c r="X57" s="1"/>
      <c r="Y57" s="1" t="s">
        <v>227</v>
      </c>
      <c r="Z57" s="1" t="s">
        <v>56</v>
      </c>
    </row>
    <row x14ac:dyDescent="0.25" r="58" customHeight="1" ht="20.25">
      <c r="A58" s="10">
        <f>_xlfn.CONCAT("NodeRed-7-",TEXT(ROW()-1,"000000"))</f>
      </c>
      <c r="B58" s="1"/>
      <c r="C58" s="11" t="s">
        <v>43</v>
      </c>
      <c r="D58" s="11" t="s">
        <v>44</v>
      </c>
      <c r="E58" s="11" t="s">
        <v>45</v>
      </c>
      <c r="F58" s="11" t="s">
        <v>46</v>
      </c>
      <c r="G58" s="11" t="s">
        <v>47</v>
      </c>
      <c r="H58" s="1" t="s">
        <v>287</v>
      </c>
      <c r="I58" s="1" t="s">
        <v>49</v>
      </c>
      <c r="J58" s="12">
        <v>25569.33363425926</v>
      </c>
      <c r="K58" s="1" t="s">
        <v>288</v>
      </c>
      <c r="L58" s="1"/>
      <c r="M58" s="11" t="s">
        <v>51</v>
      </c>
      <c r="N58" s="1" t="s">
        <v>289</v>
      </c>
      <c r="O58" s="1"/>
      <c r="P58" s="1" t="s">
        <v>132</v>
      </c>
      <c r="Q58" s="1" t="s">
        <v>290</v>
      </c>
      <c r="R58" s="1"/>
      <c r="S58" s="1"/>
      <c r="T58" s="1"/>
      <c r="U58" s="1"/>
      <c r="V58" s="1"/>
      <c r="W58" s="1"/>
      <c r="X58" s="1"/>
      <c r="Y58" s="1" t="s">
        <v>227</v>
      </c>
      <c r="Z58" s="1" t="s">
        <v>110</v>
      </c>
    </row>
    <row x14ac:dyDescent="0.25" r="59" customHeight="1" ht="20.25">
      <c r="A59" s="10">
        <f>_xlfn.CONCAT("NodeRed-7-",TEXT(ROW()-1,"000000"))</f>
      </c>
      <c r="B59" s="1"/>
      <c r="C59" s="11" t="s">
        <v>43</v>
      </c>
      <c r="D59" s="11" t="s">
        <v>44</v>
      </c>
      <c r="E59" s="11" t="s">
        <v>45</v>
      </c>
      <c r="F59" s="11" t="s">
        <v>46</v>
      </c>
      <c r="G59" s="11" t="s">
        <v>47</v>
      </c>
      <c r="H59" s="1" t="s">
        <v>291</v>
      </c>
      <c r="I59" s="1" t="s">
        <v>49</v>
      </c>
      <c r="J59" s="12">
        <v>25569.33363425926</v>
      </c>
      <c r="K59" s="1" t="s">
        <v>292</v>
      </c>
      <c r="L59" s="1"/>
      <c r="M59" s="11" t="s">
        <v>51</v>
      </c>
      <c r="N59" s="1" t="s">
        <v>293</v>
      </c>
      <c r="O59" s="1"/>
      <c r="P59" s="1" t="s">
        <v>294</v>
      </c>
      <c r="Q59" s="1" t="s">
        <v>295</v>
      </c>
      <c r="R59" s="1"/>
      <c r="S59" s="1"/>
      <c r="T59" s="1"/>
      <c r="U59" s="1"/>
      <c r="V59" s="1"/>
      <c r="W59" s="1"/>
      <c r="X59" s="1"/>
      <c r="Y59" s="1" t="s">
        <v>227</v>
      </c>
      <c r="Z59" s="1" t="s">
        <v>228</v>
      </c>
    </row>
    <row x14ac:dyDescent="0.25" r="60" customHeight="1" ht="20.25">
      <c r="A60" s="10">
        <f>_xlfn.CONCAT("NodeRed-7-",TEXT(ROW()-1,"000000"))</f>
      </c>
      <c r="B60" s="1"/>
      <c r="C60" s="11" t="s">
        <v>43</v>
      </c>
      <c r="D60" s="11" t="s">
        <v>44</v>
      </c>
      <c r="E60" s="11" t="s">
        <v>45</v>
      </c>
      <c r="F60" s="11" t="s">
        <v>46</v>
      </c>
      <c r="G60" s="11" t="s">
        <v>47</v>
      </c>
      <c r="H60" s="1" t="s">
        <v>296</v>
      </c>
      <c r="I60" s="1" t="s">
        <v>49</v>
      </c>
      <c r="J60" s="12">
        <v>25569.33363425926</v>
      </c>
      <c r="K60" s="1" t="s">
        <v>297</v>
      </c>
      <c r="L60" s="1"/>
      <c r="M60" s="11" t="s">
        <v>51</v>
      </c>
      <c r="N60" s="1" t="s">
        <v>298</v>
      </c>
      <c r="O60" s="1"/>
      <c r="P60" s="1" t="s">
        <v>299</v>
      </c>
      <c r="Q60" s="1" t="s">
        <v>300</v>
      </c>
      <c r="R60" s="1"/>
      <c r="S60" s="1"/>
      <c r="T60" s="1"/>
      <c r="U60" s="1"/>
      <c r="V60" s="1"/>
      <c r="W60" s="1"/>
      <c r="X60" s="1"/>
      <c r="Y60" s="1" t="s">
        <v>227</v>
      </c>
      <c r="Z60" s="1" t="s">
        <v>301</v>
      </c>
    </row>
    <row x14ac:dyDescent="0.25" r="61" customHeight="1" ht="20.25">
      <c r="A61" s="10">
        <f>_xlfn.CONCAT("NodeRed-7-",TEXT(ROW()-1,"000000"))</f>
      </c>
      <c r="B61" s="1"/>
      <c r="C61" s="11" t="s">
        <v>43</v>
      </c>
      <c r="D61" s="11" t="s">
        <v>44</v>
      </c>
      <c r="E61" s="11" t="s">
        <v>45</v>
      </c>
      <c r="F61" s="11" t="s">
        <v>46</v>
      </c>
      <c r="G61" s="11" t="s">
        <v>47</v>
      </c>
      <c r="H61" s="1" t="s">
        <v>302</v>
      </c>
      <c r="I61" s="1" t="s">
        <v>49</v>
      </c>
      <c r="J61" s="12">
        <v>25569.33363425926</v>
      </c>
      <c r="K61" s="1" t="s">
        <v>303</v>
      </c>
      <c r="L61" s="1"/>
      <c r="M61" s="11" t="s">
        <v>51</v>
      </c>
      <c r="N61" s="1" t="s">
        <v>304</v>
      </c>
      <c r="O61" s="1"/>
      <c r="P61" s="1" t="s">
        <v>53</v>
      </c>
      <c r="Q61" s="1" t="s">
        <v>305</v>
      </c>
      <c r="R61" s="1"/>
      <c r="S61" s="1"/>
      <c r="T61" s="1"/>
      <c r="U61" s="1"/>
      <c r="V61" s="1"/>
      <c r="W61" s="1"/>
      <c r="X61" s="1"/>
      <c r="Y61" s="1" t="s">
        <v>227</v>
      </c>
      <c r="Z61" s="1" t="s">
        <v>56</v>
      </c>
    </row>
    <row x14ac:dyDescent="0.25" r="62" customHeight="1" ht="20.25">
      <c r="A62" s="10">
        <f>_xlfn.CONCAT("NodeRed-7-",TEXT(ROW()-1,"000000"))</f>
      </c>
      <c r="B62" s="1"/>
      <c r="C62" s="11" t="s">
        <v>43</v>
      </c>
      <c r="D62" s="11" t="s">
        <v>44</v>
      </c>
      <c r="E62" s="11" t="s">
        <v>45</v>
      </c>
      <c r="F62" s="11" t="s">
        <v>46</v>
      </c>
      <c r="G62" s="11" t="s">
        <v>47</v>
      </c>
      <c r="H62" s="1" t="s">
        <v>79</v>
      </c>
      <c r="I62" s="1" t="s">
        <v>49</v>
      </c>
      <c r="J62" s="12">
        <v>25569.33363425926</v>
      </c>
      <c r="K62" s="1" t="s">
        <v>306</v>
      </c>
      <c r="L62" s="1"/>
      <c r="M62" s="11" t="s">
        <v>51</v>
      </c>
      <c r="N62" s="1" t="s">
        <v>307</v>
      </c>
      <c r="O62" s="1"/>
      <c r="P62" s="1" t="s">
        <v>53</v>
      </c>
      <c r="Q62" s="1" t="s">
        <v>308</v>
      </c>
      <c r="R62" s="1"/>
      <c r="S62" s="1"/>
      <c r="T62" s="1"/>
      <c r="U62" s="1"/>
      <c r="V62" s="1"/>
      <c r="W62" s="1"/>
      <c r="X62" s="1"/>
      <c r="Y62" s="1" t="s">
        <v>309</v>
      </c>
      <c r="Z62" s="1" t="s">
        <v>72</v>
      </c>
    </row>
    <row x14ac:dyDescent="0.25" r="63" customHeight="1" ht="20.25">
      <c r="A63" s="10">
        <f>_xlfn.CONCAT("NodeRed-7-",TEXT(ROW()-1,"000000"))</f>
      </c>
      <c r="B63" s="1"/>
      <c r="C63" s="11" t="s">
        <v>43</v>
      </c>
      <c r="D63" s="11" t="s">
        <v>44</v>
      </c>
      <c r="E63" s="11" t="s">
        <v>45</v>
      </c>
      <c r="F63" s="11" t="s">
        <v>46</v>
      </c>
      <c r="G63" s="11" t="s">
        <v>47</v>
      </c>
      <c r="H63" s="1" t="s">
        <v>111</v>
      </c>
      <c r="I63" s="1" t="s">
        <v>49</v>
      </c>
      <c r="J63" s="12">
        <v>25569.33363425926</v>
      </c>
      <c r="K63" s="1" t="s">
        <v>310</v>
      </c>
      <c r="L63" s="1"/>
      <c r="M63" s="11" t="s">
        <v>51</v>
      </c>
      <c r="N63" s="1" t="s">
        <v>311</v>
      </c>
      <c r="O63" s="1"/>
      <c r="P63" s="1" t="s">
        <v>53</v>
      </c>
      <c r="Q63" s="1" t="s">
        <v>312</v>
      </c>
      <c r="R63" s="1"/>
      <c r="S63" s="1"/>
      <c r="T63" s="1"/>
      <c r="U63" s="1"/>
      <c r="V63" s="1"/>
      <c r="W63" s="1"/>
      <c r="X63" s="1"/>
      <c r="Y63" s="1" t="s">
        <v>309</v>
      </c>
      <c r="Z63" s="1" t="s">
        <v>72</v>
      </c>
    </row>
    <row x14ac:dyDescent="0.25" r="64" customHeight="1" ht="20.25">
      <c r="A64" s="10">
        <f>_xlfn.CONCAT("NodeRed-7-",TEXT(ROW()-1,"000000"))</f>
      </c>
      <c r="B64" s="1"/>
      <c r="C64" s="11" t="s">
        <v>43</v>
      </c>
      <c r="D64" s="11" t="s">
        <v>44</v>
      </c>
      <c r="E64" s="11" t="s">
        <v>45</v>
      </c>
      <c r="F64" s="11" t="s">
        <v>46</v>
      </c>
      <c r="G64" s="11" t="s">
        <v>47</v>
      </c>
      <c r="H64" s="1" t="s">
        <v>313</v>
      </c>
      <c r="I64" s="1" t="s">
        <v>49</v>
      </c>
      <c r="J64" s="12">
        <v>25569.33363425926</v>
      </c>
      <c r="K64" s="1" t="s">
        <v>314</v>
      </c>
      <c r="L64" s="1"/>
      <c r="M64" s="11" t="s">
        <v>51</v>
      </c>
      <c r="N64" s="1" t="s">
        <v>315</v>
      </c>
      <c r="O64" s="1"/>
      <c r="P64" s="1" t="s">
        <v>53</v>
      </c>
      <c r="Q64" s="1" t="s">
        <v>316</v>
      </c>
      <c r="R64" s="1"/>
      <c r="S64" s="1"/>
      <c r="T64" s="1"/>
      <c r="U64" s="1"/>
      <c r="V64" s="1"/>
      <c r="W64" s="1"/>
      <c r="X64" s="1"/>
      <c r="Y64" s="1" t="s">
        <v>309</v>
      </c>
      <c r="Z64" s="1" t="s">
        <v>72</v>
      </c>
    </row>
    <row x14ac:dyDescent="0.25" r="65" customHeight="1" ht="20.25">
      <c r="A65" s="10">
        <f>_xlfn.CONCAT("NodeRed-7-",TEXT(ROW()-1,"000000"))</f>
      </c>
      <c r="B65" s="1"/>
      <c r="C65" s="11" t="s">
        <v>43</v>
      </c>
      <c r="D65" s="11" t="s">
        <v>44</v>
      </c>
      <c r="E65" s="11" t="s">
        <v>45</v>
      </c>
      <c r="F65" s="11" t="s">
        <v>46</v>
      </c>
      <c r="G65" s="11" t="s">
        <v>47</v>
      </c>
      <c r="H65" s="1" t="s">
        <v>317</v>
      </c>
      <c r="I65" s="1" t="s">
        <v>49</v>
      </c>
      <c r="J65" s="12">
        <v>25569.33363425926</v>
      </c>
      <c r="K65" s="1" t="s">
        <v>318</v>
      </c>
      <c r="L65" s="1"/>
      <c r="M65" s="11" t="s">
        <v>51</v>
      </c>
      <c r="N65" s="1" t="s">
        <v>319</v>
      </c>
      <c r="O65" s="1"/>
      <c r="P65" s="1" t="s">
        <v>320</v>
      </c>
      <c r="Q65" s="1" t="s">
        <v>321</v>
      </c>
      <c r="R65" s="1"/>
      <c r="S65" s="1"/>
      <c r="T65" s="1"/>
      <c r="U65" s="1"/>
      <c r="V65" s="1"/>
      <c r="W65" s="1"/>
      <c r="X65" s="1"/>
      <c r="Y65" s="1" t="s">
        <v>138</v>
      </c>
      <c r="Z65" s="1" t="s">
        <v>322</v>
      </c>
    </row>
    <row x14ac:dyDescent="0.25" r="66" customHeight="1" ht="20.25">
      <c r="A66" s="10">
        <f>_xlfn.CONCAT("NodeRed-7-",TEXT(ROW()-1,"000000"))</f>
      </c>
      <c r="B66" s="1"/>
      <c r="C66" s="11" t="s">
        <v>43</v>
      </c>
      <c r="D66" s="11" t="s">
        <v>44</v>
      </c>
      <c r="E66" s="11" t="s">
        <v>45</v>
      </c>
      <c r="F66" s="11" t="s">
        <v>46</v>
      </c>
      <c r="G66" s="11" t="s">
        <v>47</v>
      </c>
      <c r="H66" s="1" t="s">
        <v>79</v>
      </c>
      <c r="I66" s="1" t="s">
        <v>49</v>
      </c>
      <c r="J66" s="12">
        <v>25569.33363425926</v>
      </c>
      <c r="K66" s="1" t="s">
        <v>323</v>
      </c>
      <c r="L66" s="1"/>
      <c r="M66" s="11" t="s">
        <v>51</v>
      </c>
      <c r="N66" s="1" t="s">
        <v>324</v>
      </c>
      <c r="O66" s="1"/>
      <c r="P66" s="1" t="s">
        <v>53</v>
      </c>
      <c r="Q66" s="1" t="s">
        <v>325</v>
      </c>
      <c r="R66" s="1"/>
      <c r="S66" s="1"/>
      <c r="T66" s="1"/>
      <c r="U66" s="1"/>
      <c r="V66" s="1"/>
      <c r="W66" s="1"/>
      <c r="X66" s="1"/>
      <c r="Y66" s="1" t="s">
        <v>309</v>
      </c>
      <c r="Z66" s="1" t="s">
        <v>72</v>
      </c>
    </row>
    <row x14ac:dyDescent="0.25" r="67" customHeight="1" ht="20.25">
      <c r="A67" s="10">
        <f>_xlfn.CONCAT("NodeRed-7-",TEXT(ROW()-1,"000000"))</f>
      </c>
      <c r="B67" s="1"/>
      <c r="C67" s="11" t="s">
        <v>43</v>
      </c>
      <c r="D67" s="11" t="s">
        <v>44</v>
      </c>
      <c r="E67" s="11" t="s">
        <v>45</v>
      </c>
      <c r="F67" s="11" t="s">
        <v>46</v>
      </c>
      <c r="G67" s="11" t="s">
        <v>47</v>
      </c>
      <c r="H67" s="1" t="s">
        <v>326</v>
      </c>
      <c r="I67" s="1" t="s">
        <v>49</v>
      </c>
      <c r="J67" s="12">
        <v>25569.33363425926</v>
      </c>
      <c r="K67" s="1" t="s">
        <v>327</v>
      </c>
      <c r="L67" s="1"/>
      <c r="M67" s="11" t="s">
        <v>51</v>
      </c>
      <c r="N67" s="1" t="s">
        <v>328</v>
      </c>
      <c r="O67" s="1"/>
      <c r="P67" s="1" t="s">
        <v>329</v>
      </c>
      <c r="Q67" s="1" t="s">
        <v>330</v>
      </c>
      <c r="R67" s="1"/>
      <c r="S67" s="1"/>
      <c r="T67" s="1"/>
      <c r="U67" s="1"/>
      <c r="V67" s="1"/>
      <c r="W67" s="1"/>
      <c r="X67" s="1"/>
      <c r="Y67" s="1" t="s">
        <v>331</v>
      </c>
      <c r="Z67" s="1" t="s">
        <v>332</v>
      </c>
    </row>
    <row x14ac:dyDescent="0.25" r="68" customHeight="1" ht="18.75">
      <c r="A68" s="10">
        <f>_xlfn.CONCAT("NodeRed-7-",TEXT(ROW()-1,"000000"))</f>
      </c>
      <c r="B68" s="1"/>
      <c r="C68" s="11" t="s">
        <v>43</v>
      </c>
      <c r="D68" s="11" t="s">
        <v>44</v>
      </c>
      <c r="E68" s="11" t="s">
        <v>45</v>
      </c>
      <c r="F68" s="11" t="s">
        <v>46</v>
      </c>
      <c r="G68" s="11" t="s">
        <v>47</v>
      </c>
      <c r="H68" s="1" t="s">
        <v>333</v>
      </c>
      <c r="I68" s="1" t="s">
        <v>49</v>
      </c>
      <c r="J68" s="12">
        <v>25569.33363425926</v>
      </c>
      <c r="K68" s="1" t="s">
        <v>334</v>
      </c>
      <c r="L68" s="1"/>
      <c r="M68" s="11" t="s">
        <v>51</v>
      </c>
      <c r="N68" s="1" t="s">
        <v>335</v>
      </c>
      <c r="O68" s="1"/>
      <c r="P68" s="1" t="s">
        <v>336</v>
      </c>
      <c r="Q68" s="1" t="s">
        <v>337</v>
      </c>
      <c r="R68" s="1"/>
      <c r="S68" s="1"/>
      <c r="T68" s="1"/>
      <c r="U68" s="1"/>
      <c r="V68" s="1"/>
      <c r="W68" s="1"/>
      <c r="X68" s="1"/>
      <c r="Y68" s="1" t="s">
        <v>309</v>
      </c>
      <c r="Z68" s="1" t="s">
        <v>128</v>
      </c>
    </row>
    <row x14ac:dyDescent="0.25" r="69" customHeight="1" ht="18.75">
      <c r="A69" s="10">
        <f>_xlfn.CONCAT("NodeRed-7-",TEXT(ROW()-1,"000000"))</f>
      </c>
      <c r="B69" s="1"/>
      <c r="C69" s="11" t="s">
        <v>43</v>
      </c>
      <c r="D69" s="11" t="s">
        <v>44</v>
      </c>
      <c r="E69" s="11" t="s">
        <v>45</v>
      </c>
      <c r="F69" s="11" t="s">
        <v>46</v>
      </c>
      <c r="G69" s="11" t="s">
        <v>47</v>
      </c>
      <c r="H69" s="1" t="s">
        <v>57</v>
      </c>
      <c r="I69" s="1" t="s">
        <v>49</v>
      </c>
      <c r="J69" s="12">
        <v>25569.33363425926</v>
      </c>
      <c r="K69" s="1" t="s">
        <v>338</v>
      </c>
      <c r="L69" s="1"/>
      <c r="M69" s="11" t="s">
        <v>51</v>
      </c>
      <c r="N69" s="1" t="s">
        <v>339</v>
      </c>
      <c r="O69" s="1"/>
      <c r="P69" s="1" t="s">
        <v>53</v>
      </c>
      <c r="Q69" s="1" t="s">
        <v>340</v>
      </c>
      <c r="R69" s="1"/>
      <c r="S69" s="1"/>
      <c r="T69" s="1"/>
      <c r="U69" s="1"/>
      <c r="V69" s="1"/>
      <c r="W69" s="1"/>
      <c r="X69" s="1"/>
      <c r="Y69" s="1" t="s">
        <v>309</v>
      </c>
      <c r="Z69" s="1" t="s">
        <v>72</v>
      </c>
    </row>
    <row x14ac:dyDescent="0.25" r="70" customHeight="1" ht="18.75">
      <c r="A70" s="10">
        <f>_xlfn.CONCAT("NodeRed-7-",TEXT(ROW()-1,"000000"))</f>
      </c>
      <c r="B70" s="1"/>
      <c r="C70" s="11" t="s">
        <v>43</v>
      </c>
      <c r="D70" s="11" t="s">
        <v>44</v>
      </c>
      <c r="E70" s="11" t="s">
        <v>45</v>
      </c>
      <c r="F70" s="11" t="s">
        <v>46</v>
      </c>
      <c r="G70" s="11" t="s">
        <v>47</v>
      </c>
      <c r="H70" s="1" t="s">
        <v>57</v>
      </c>
      <c r="I70" s="1" t="s">
        <v>49</v>
      </c>
      <c r="J70" s="12">
        <v>25569.33363425926</v>
      </c>
      <c r="K70" s="1" t="s">
        <v>341</v>
      </c>
      <c r="L70" s="1"/>
      <c r="M70" s="11" t="s">
        <v>51</v>
      </c>
      <c r="N70" s="1" t="s">
        <v>342</v>
      </c>
      <c r="O70" s="1"/>
      <c r="P70" s="1" t="s">
        <v>53</v>
      </c>
      <c r="Q70" s="1" t="s">
        <v>343</v>
      </c>
      <c r="R70" s="1"/>
      <c r="S70" s="1"/>
      <c r="T70" s="1"/>
      <c r="U70" s="1"/>
      <c r="V70" s="1"/>
      <c r="W70" s="1"/>
      <c r="X70" s="1"/>
      <c r="Y70" s="1" t="s">
        <v>309</v>
      </c>
      <c r="Z70" s="1" t="s">
        <v>72</v>
      </c>
    </row>
    <row x14ac:dyDescent="0.25" r="71" customHeight="1" ht="18.75">
      <c r="A71" s="10">
        <f>_xlfn.CONCAT("NodeRed-7-",TEXT(ROW()-1,"000000"))</f>
      </c>
      <c r="B71" s="1"/>
      <c r="C71" s="11" t="s">
        <v>43</v>
      </c>
      <c r="D71" s="11" t="s">
        <v>44</v>
      </c>
      <c r="E71" s="11" t="s">
        <v>45</v>
      </c>
      <c r="F71" s="11" t="s">
        <v>46</v>
      </c>
      <c r="G71" s="11" t="s">
        <v>47</v>
      </c>
      <c r="H71" s="1" t="s">
        <v>344</v>
      </c>
      <c r="I71" s="1" t="s">
        <v>49</v>
      </c>
      <c r="J71" s="12">
        <v>25569.33363425926</v>
      </c>
      <c r="K71" s="1" t="s">
        <v>345</v>
      </c>
      <c r="L71" s="1"/>
      <c r="M71" s="11" t="s">
        <v>51</v>
      </c>
      <c r="N71" s="1" t="s">
        <v>346</v>
      </c>
      <c r="O71" s="1"/>
      <c r="P71" s="1" t="s">
        <v>93</v>
      </c>
      <c r="Q71" s="1" t="s">
        <v>347</v>
      </c>
      <c r="R71" s="1"/>
      <c r="S71" s="1"/>
      <c r="T71" s="1"/>
      <c r="U71" s="1"/>
      <c r="V71" s="1"/>
      <c r="W71" s="1"/>
      <c r="X71" s="1"/>
      <c r="Y71" s="1" t="s">
        <v>309</v>
      </c>
      <c r="Z71" s="1" t="s">
        <v>72</v>
      </c>
    </row>
    <row x14ac:dyDescent="0.25" r="72" customHeight="1" ht="18.75">
      <c r="A72" s="10">
        <f>_xlfn.CONCAT("NodeRed-7-",TEXT(ROW()-1,"000000"))</f>
      </c>
      <c r="B72" s="1"/>
      <c r="C72" s="11" t="s">
        <v>43</v>
      </c>
      <c r="D72" s="11" t="s">
        <v>44</v>
      </c>
      <c r="E72" s="11" t="s">
        <v>45</v>
      </c>
      <c r="F72" s="11" t="s">
        <v>46</v>
      </c>
      <c r="G72" s="11" t="s">
        <v>47</v>
      </c>
      <c r="H72" s="1" t="s">
        <v>79</v>
      </c>
      <c r="I72" s="1" t="s">
        <v>49</v>
      </c>
      <c r="J72" s="12">
        <v>25569.33363425926</v>
      </c>
      <c r="K72" s="1" t="s">
        <v>348</v>
      </c>
      <c r="L72" s="1"/>
      <c r="M72" s="11" t="s">
        <v>51</v>
      </c>
      <c r="N72" s="1" t="s">
        <v>349</v>
      </c>
      <c r="O72" s="1"/>
      <c r="P72" s="1" t="s">
        <v>53</v>
      </c>
      <c r="Q72" s="1" t="s">
        <v>350</v>
      </c>
      <c r="R72" s="1"/>
      <c r="S72" s="1"/>
      <c r="T72" s="1"/>
      <c r="U72" s="1"/>
      <c r="V72" s="1"/>
      <c r="W72" s="1"/>
      <c r="X72" s="1"/>
      <c r="Y72" s="1" t="s">
        <v>309</v>
      </c>
      <c r="Z72" s="1" t="s">
        <v>72</v>
      </c>
    </row>
    <row x14ac:dyDescent="0.25" r="73" customHeight="1" ht="18.75">
      <c r="A73" s="10">
        <f>_xlfn.CONCAT("NodeRed-7-",TEXT(ROW()-1,"000000"))</f>
      </c>
      <c r="B73" s="1"/>
      <c r="C73" s="11" t="s">
        <v>43</v>
      </c>
      <c r="D73" s="11" t="s">
        <v>44</v>
      </c>
      <c r="E73" s="11" t="s">
        <v>45</v>
      </c>
      <c r="F73" s="11" t="s">
        <v>46</v>
      </c>
      <c r="G73" s="11" t="s">
        <v>47</v>
      </c>
      <c r="H73" s="1" t="s">
        <v>57</v>
      </c>
      <c r="I73" s="1" t="s">
        <v>49</v>
      </c>
      <c r="J73" s="12">
        <v>25569.33363425926</v>
      </c>
      <c r="K73" s="1" t="s">
        <v>351</v>
      </c>
      <c r="L73" s="1"/>
      <c r="M73" s="11" t="s">
        <v>51</v>
      </c>
      <c r="N73" s="1" t="s">
        <v>352</v>
      </c>
      <c r="O73" s="1"/>
      <c r="P73" s="1" t="s">
        <v>53</v>
      </c>
      <c r="Q73" s="1" t="s">
        <v>353</v>
      </c>
      <c r="R73" s="1"/>
      <c r="S73" s="1"/>
      <c r="T73" s="1"/>
      <c r="U73" s="1"/>
      <c r="V73" s="1"/>
      <c r="W73" s="1"/>
      <c r="X73" s="1"/>
      <c r="Y73" s="1" t="s">
        <v>309</v>
      </c>
      <c r="Z73" s="1" t="s">
        <v>72</v>
      </c>
    </row>
    <row x14ac:dyDescent="0.25" r="74" customHeight="1" ht="18.75">
      <c r="A74" s="10">
        <f>_xlfn.CONCAT("NodeRed-7-",TEXT(ROW()-1,"000000"))</f>
      </c>
      <c r="B74" s="1"/>
      <c r="C74" s="11" t="s">
        <v>43</v>
      </c>
      <c r="D74" s="11" t="s">
        <v>44</v>
      </c>
      <c r="E74" s="11" t="s">
        <v>45</v>
      </c>
      <c r="F74" s="11" t="s">
        <v>46</v>
      </c>
      <c r="G74" s="11" t="s">
        <v>47</v>
      </c>
      <c r="H74" s="1" t="s">
        <v>48</v>
      </c>
      <c r="I74" s="1" t="s">
        <v>49</v>
      </c>
      <c r="J74" s="12">
        <v>25569.33363425926</v>
      </c>
      <c r="K74" s="1" t="s">
        <v>354</v>
      </c>
      <c r="L74" s="1"/>
      <c r="M74" s="11" t="s">
        <v>51</v>
      </c>
      <c r="N74" s="1" t="s">
        <v>355</v>
      </c>
      <c r="O74" s="1"/>
      <c r="P74" s="1" t="s">
        <v>53</v>
      </c>
      <c r="Q74" s="1" t="s">
        <v>356</v>
      </c>
      <c r="R74" s="1"/>
      <c r="S74" s="1"/>
      <c r="T74" s="1"/>
      <c r="U74" s="1"/>
      <c r="V74" s="1"/>
      <c r="W74" s="1"/>
      <c r="X74" s="1"/>
      <c r="Y74" s="1" t="s">
        <v>309</v>
      </c>
      <c r="Z74" s="1" t="s">
        <v>72</v>
      </c>
    </row>
    <row x14ac:dyDescent="0.25" r="75" customHeight="1" ht="18.75">
      <c r="A75" s="10">
        <f>_xlfn.CONCAT("NodeRed-7-",TEXT(ROW()-1,"000000"))</f>
      </c>
      <c r="B75" s="1"/>
      <c r="C75" s="11" t="s">
        <v>43</v>
      </c>
      <c r="D75" s="11" t="s">
        <v>44</v>
      </c>
      <c r="E75" s="11" t="s">
        <v>45</v>
      </c>
      <c r="F75" s="11" t="s">
        <v>46</v>
      </c>
      <c r="G75" s="11" t="s">
        <v>47</v>
      </c>
      <c r="H75" s="1" t="s">
        <v>79</v>
      </c>
      <c r="I75" s="1" t="s">
        <v>49</v>
      </c>
      <c r="J75" s="12">
        <v>25569.33363425926</v>
      </c>
      <c r="K75" s="1" t="s">
        <v>357</v>
      </c>
      <c r="L75" s="1"/>
      <c r="M75" s="11" t="s">
        <v>51</v>
      </c>
      <c r="N75" s="1" t="s">
        <v>358</v>
      </c>
      <c r="O75" s="1"/>
      <c r="P75" s="1" t="s">
        <v>53</v>
      </c>
      <c r="Q75" s="1" t="s">
        <v>359</v>
      </c>
      <c r="R75" s="1"/>
      <c r="S75" s="1"/>
      <c r="T75" s="1"/>
      <c r="U75" s="1"/>
      <c r="V75" s="1"/>
      <c r="W75" s="1"/>
      <c r="X75" s="1"/>
      <c r="Y75" s="1" t="s">
        <v>309</v>
      </c>
      <c r="Z75" s="1" t="s">
        <v>72</v>
      </c>
    </row>
    <row x14ac:dyDescent="0.25" r="76" customHeight="1" ht="18.75">
      <c r="A76" s="10">
        <f>_xlfn.CONCAT("NodeRed-7-",TEXT(ROW()-1,"000000"))</f>
      </c>
      <c r="B76" s="1"/>
      <c r="C76" s="11" t="s">
        <v>43</v>
      </c>
      <c r="D76" s="11" t="s">
        <v>44</v>
      </c>
      <c r="E76" s="11" t="s">
        <v>45</v>
      </c>
      <c r="F76" s="11" t="s">
        <v>46</v>
      </c>
      <c r="G76" s="11" t="s">
        <v>47</v>
      </c>
      <c r="H76" s="1" t="s">
        <v>48</v>
      </c>
      <c r="I76" s="1" t="s">
        <v>49</v>
      </c>
      <c r="J76" s="12">
        <v>25569.33363425926</v>
      </c>
      <c r="K76" s="1" t="s">
        <v>360</v>
      </c>
      <c r="L76" s="1"/>
      <c r="M76" s="11" t="s">
        <v>51</v>
      </c>
      <c r="N76" s="1" t="s">
        <v>361</v>
      </c>
      <c r="O76" s="1"/>
      <c r="P76" s="1" t="s">
        <v>53</v>
      </c>
      <c r="Q76" s="1" t="s">
        <v>362</v>
      </c>
      <c r="R76" s="1"/>
      <c r="S76" s="1"/>
      <c r="T76" s="1"/>
      <c r="U76" s="1"/>
      <c r="V76" s="1"/>
      <c r="W76" s="1"/>
      <c r="X76" s="1"/>
      <c r="Y76" s="1" t="s">
        <v>309</v>
      </c>
      <c r="Z76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0"/>
  <sheetViews>
    <sheetView workbookViewId="0"/>
  </sheetViews>
  <sheetFormatPr defaultRowHeight="15" x14ac:dyDescent="0.25"/>
  <cols>
    <col min="1" max="1" style="4" width="27.576428571428572" customWidth="1" bestFit="1"/>
    <col min="2" max="2" style="4" width="13.576428571428572" customWidth="1" bestFit="1"/>
    <col min="3" max="3" style="4" width="38.57642857142857" customWidth="1" bestFit="1"/>
    <col min="4" max="4" style="4" width="11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5" width="13.576428571428572" customWidth="1" bestFit="1"/>
    <col min="11" max="11" style="4" width="12.719285714285713" customWidth="1" bestFit="1"/>
    <col min="12" max="12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 t="s">
        <v>21</v>
      </c>
      <c r="K2" s="1" t="s">
        <v>17</v>
      </c>
      <c r="L2" s="1" t="s">
        <v>22</v>
      </c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2"/>
      <c r="K4" s="1"/>
      <c r="L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2"/>
      <c r="K5" s="1"/>
      <c r="L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2"/>
      <c r="K6" s="1"/>
      <c r="L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2"/>
      <c r="K7" s="1"/>
      <c r="L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2"/>
      <c r="K8" s="1"/>
      <c r="L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2"/>
      <c r="K9" s="1"/>
      <c r="L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2"/>
      <c r="K13" s="1"/>
      <c r="L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3"/>
      <c r="K40" s="1"/>
      <c r="L4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汇总表</vt:lpstr>
      <vt:lpstr>全文字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2026-06-17T07:30:19.495Z</dcterms:created>
  <dcterms:modified xsi:type="dcterms:W3CDTF">2026-06-17T07:30:19.495Z</dcterms:modified>
</cp:coreProperties>
</file>