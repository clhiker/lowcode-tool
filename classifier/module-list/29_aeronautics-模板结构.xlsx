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95" windowHeight="12975"/>
  </bookViews>
  <sheets>
    <sheet name="汇总表" sheetId="1" r:id="rId1"/>
    <sheet name="全文字" sheetId="2" r:id="rId2"/>
  </sheets>
  <calcPr calcId="144525"/>
</workbook>
</file>

<file path=xl/sharedStrings.xml><?xml version="1.0" encoding="utf-8"?>
<sst xmlns="http://schemas.openxmlformats.org/spreadsheetml/2006/main" count="212" uniqueCount="94">
  <si>
    <t>模板id</t>
  </si>
  <si>
    <t>模板名</t>
  </si>
  <si>
    <t>标签1. 语言和框架</t>
  </si>
  <si>
    <t>标签2. 文件后缀</t>
  </si>
  <si>
    <t>标签3. 用户库或Schema</t>
  </si>
  <si>
    <t>标签4. 原生模板/子模板/组合模板</t>
  </si>
  <si>
    <t>标签5. 领域</t>
  </si>
  <si>
    <t>标签6. 功能</t>
  </si>
  <si>
    <t>提交者</t>
  </si>
  <si>
    <t>更新时间</t>
  </si>
  <si>
    <t>模板描述</t>
  </si>
  <si>
    <t>模板示例图片地址</t>
  </si>
  <si>
    <t>压缩包</t>
  </si>
  <si>
    <t>文件名</t>
  </si>
  <si>
    <t>代码地址</t>
  </si>
  <si>
    <t>文件所在仓库</t>
  </si>
  <si>
    <t>文件来源</t>
  </si>
  <si>
    <t>代码</t>
  </si>
  <si>
    <t/>
  </si>
  <si>
    <t>NodeRed模板</t>
  </si>
  <si>
    <t>json</t>
  </si>
  <si>
    <t>NodeRed</t>
  </si>
  <si>
    <t>原生模板</t>
  </si>
  <si>
    <t>智慧航空</t>
  </si>
  <si>
    <t>无人机拍照</t>
  </si>
  <si>
    <t>陈乐</t>
  </si>
  <si>
    <t>通过UDP发送指令控制Tello无人机拍摄照片并传输结果。</t>
  </si>
  <si>
    <t>json_nodered_smart_aeronautics.tar.gz</t>
  </si>
  <si>
    <t>1.json</t>
  </si>
  <si>
    <t>johnwalicki/Node-RED-Tello-Control</t>
  </si>
  <si>
    <t>https://github.com/johnwalicki/Node-RED-Tello-Control/blob/d02de271dc12fafd2f22772ba1b8ecc371356b4c/flows/solutions/part8_solution.json</t>
  </si>
  <si>
    <t>温度监控</t>
  </si>
  <si>
    <t>从IBM IoT接收设备事件，提取温度数据并存储到全局变量中以便后续处理。</t>
  </si>
  <si>
    <t>2.json</t>
  </si>
  <si>
    <t>smartinternz02/SI-GuidedProject-2933-1623398850</t>
  </si>
  <si>
    <t>https://github.com/smartinternz02/SI-GuidedProject-2933-1623398850/blob/4fffc29a8c4f80d68b12b84908b2871f44d56897/flows.json</t>
  </si>
  <si>
    <t>通过UDP协议向指定地址发送指令，控制Tello无人机进行拍照操作，并处理相关数据和校验信息。</t>
  </si>
  <si>
    <t>3.json</t>
  </si>
  <si>
    <t>https://github.com/johnwalicki/Node-RED-Tello-Control/blob/d02de271dc12fafd2f22772ba1b8ecc371356b4c/flows/solutions/part7_solution.json</t>
  </si>
  <si>
    <t>温度监测</t>
  </si>
  <si>
    <t>从IBM IoT设备接收事件数据，提取温度信息并存储至全局变量。</t>
  </si>
  <si>
    <t>4.json</t>
  </si>
  <si>
    <t>smartinternz02/SI-GuidedProject-2934-1623398880</t>
  </si>
  <si>
    <t>https://github.com/smartinternz02/SI-GuidedProject-2934-1623398880/blob/f23cef5b8720a2725a820caaf0d7177f6863a49d/flows.json</t>
  </si>
  <si>
    <t>接收IBM IoT设备的事件数据，提取温度值并存储到全局变量中以供后续处理。</t>
  </si>
  <si>
    <t>5.json</t>
  </si>
  <si>
    <t>smartinternz02/SI-GuidedProject-2931-1623398775</t>
  </si>
  <si>
    <t>https://github.com/smartinternz02/SI-GuidedProject-2931-1623398775/blob/22607ca82f2e81cbce01157fa3fce5e103a4e6f7/flows.json</t>
  </si>
  <si>
    <t>流程管理</t>
  </si>
  <si>
    <t>提供多个工作区用于组织和管理不同类型的节点、操作及变量配置。</t>
  </si>
  <si>
    <t>6.json</t>
  </si>
  <si>
    <t>OlVeRaS94/BD</t>
  </si>
  <si>
    <t>https://github.com/OlVeRaS94/BD/blob/dbeb624bcc2177ff178afb2c3755a9085a6542c7/nodeRED/node-red-data/flows.json</t>
  </si>
  <si>
    <t>从IBM IoT平台读取设备1001的温度数据，并将其存储到全局变量中以便后续处理。</t>
  </si>
  <si>
    <t>7.json</t>
  </si>
  <si>
    <t>smartinternz02/SI-GuidedProject-2930-1623398740</t>
  </si>
  <si>
    <t>https://github.com/smartinternz02/SI-GuidedProject-2930-1623398740/blob/b21a2b3f2ce7917850c7a51ab7a5f756d1068e8a/flows.json</t>
  </si>
  <si>
    <t>任务重启</t>
  </si>
  <si>
    <t>接收输入并执行特定任务的重启操作，通过不同输出端口反馈任务处理结果。</t>
  </si>
  <si>
    <t>8.json</t>
  </si>
  <si>
    <t>ozdeadmeat/DDC2</t>
  </si>
  <si>
    <t>https://github.com/ozdeadmeat/DDC2/blob/4df2669946b8be798a64b8024f393f442a0d7ab2/DDC2.json</t>
  </si>
  <si>
    <t>温度处理</t>
  </si>
  <si>
    <t>从IBM IoT事件中提取设备温度数据并设置全局变量，以便后续流程使用。</t>
  </si>
  <si>
    <t>9.json</t>
  </si>
  <si>
    <t>smartinternz02/SI-GuidedProject-2932-1623398815</t>
  </si>
  <si>
    <t>https://github.com/smartinternz02/SI-GuidedProject-2932-1623398815/blob/bd410105ec5f7639247372f0c02240f00f736051/flows.json</t>
  </si>
  <si>
    <t>无人机控制</t>
  </si>
  <si>
    <t>发送命令给Tello无人机并通过UDP协议传输数据至指定地址端口，实现对无人机的远程操控。</t>
  </si>
  <si>
    <t>10.json</t>
  </si>
  <si>
    <t>https://github.com/johnwalicki/Node-RED-Tello-Control/blob/d02de271dc12fafd2f22772ba1b8ecc371356b4c/flows/solutions/part9_solution.json</t>
  </si>
  <si>
    <t>name</t>
  </si>
  <si>
    <t>category</t>
  </si>
  <si>
    <t>description</t>
  </si>
  <si>
    <t>tags</t>
  </si>
  <si>
    <t>domain</t>
  </si>
  <si>
    <t>describing_the_model</t>
  </si>
  <si>
    <t>code</t>
  </si>
  <si>
    <t>additional</t>
  </si>
  <si>
    <t>reference</t>
  </si>
  <si>
    <t>image_url</t>
  </si>
  <si>
    <t>language</t>
  </si>
  <si>
    <t>token</t>
  </si>
  <si>
    <t>b-grid-vertical-alignment_b-tooltip-show-ref-event</t>
  </si>
  <si>
    <t>组合模板</t>
  </si>
  <si>
    <t xml:space="preserve">本模板为组合模板，由b-grid-vertical-alignment和b-tooltip-show-ref-event组合而成；其中:
b-grid-vertical-alignment的功能描述：
- 该Vue组件使用Bootstrap Vue框架实现了响应式的列布局。
- 包含多个行元素，每行内部有三个等宽的列，展示不同的垂直对齐方式（顶部对齐、居中对齐和底部对齐）。
- 列内支持自定义样式以适应不同内容高度需求，例如字体大小的变化不会影响整体布局的对齐效果。
- 适用于需要灵活管理页面元素垂直排列的设计场景，如产品列表页、博客文章展示等。
b-tooltip-show-ref-event的功能描述：
该Vue文件实现了一个带有提示框的按钮功能。当用户点击特定按钮时，会显示一个带有文本“Hello World!”的提示框，并且通过点击其他两个控制按钮可以手动打开或关闭此提示框。
- 包含三个按钮:一个初始按钮用于触发默认提示框显示事件；另外两个用于自定义打开和关闭操作。
- 通过Vue的方法`onOpen()`和`onClose()`来控制提示框的显示状态，这些方法使用了对DOM元素（b-tooltip组件）的引用。
- 使用了Bootstrap Vue框架中的Button和Tooltip组件进行UI设计与交互。
- 此功能适合用于需要增强用户互动体验的应用场景中，如网站导航、帮助信息展示等。
</t>
  </si>
  <si>
    <t>自定义方法,事件监听,按钮,列布局,响应式布局,布局管理,提示框,bootstrap-vue</t>
  </si>
  <si>
    <t>Web开发,用户界面,前端交互,表现层优化,Vue组件,网页布局,UI设计,前端开发</t>
  </si>
  <si>
    <t>Vue</t>
  </si>
  <si>
    <t>https://ddst.sjtu.edu.cn/lctemplate/vue/combinations/combinations/b-grid-vertical-alignment_b-tooltip-show-ref-event.vue</t>
  </si>
  <si>
    <t>BootstrapVue：https://github.com/bootstrap-vue/bootstrap-vue</t>
  </si>
  <si>
    <t>模板组件来源于github，https://github.com/CyberAP/bootstrap-vue-compat-ssr-test/tree/main/src/components/b-grid-vertical-alignment.vue;https://github.com/CyberAP/bootstrap-vue-compat-ssr-test/tree/main/src/components/b-tooltip-show-ref-event.vue</t>
  </si>
  <si>
    <t>https://ddst.sjtu.edu.cn/lctemplate/vue/combinations/screenshots/bgridverticalalignmentbtooltipshowrefevent.png</t>
  </si>
  <si>
    <t>d115b78dd95f282b9b52d7842d576bbc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</si>
</sst>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\¥#,##0.00;[Red]\¥\-#,##0.00"/>
    <numFmt numFmtId="178" formatCode="#\ ??/??"/>
    <numFmt numFmtId="5" formatCode="&quot;￥&quot;#,##0;&quot;￥&quot;\-#,##0"/>
    <numFmt numFmtId="24" formatCode="\$#,##0_);[Red]\(\$#,##0\)"/>
    <numFmt numFmtId="7" formatCode="&quot;￥&quot;#,##0.00;&quot;￥&quot;\-#,##0.00"/>
    <numFmt numFmtId="179" formatCode="\¥#,##0;[Red]\¥\-#,##0"/>
    <numFmt numFmtId="26" formatCode="\$#,##0.00_);[Red]\(\$#,##0.00\)"/>
    <numFmt numFmtId="43" formatCode="_ * #,##0.00_ ;_ * \-#,##0.00_ ;_ * &quot;-&quot;??_ ;_ @_ "/>
    <numFmt numFmtId="42" formatCode="_ &quot;￥&quot;* #,##0_ ;_ &quot;￥&quot;* \-#,##0_ ;_ &quot;￥&quot;* &quot;-&quot;_ ;_ @_ "/>
    <numFmt numFmtId="180" formatCode="[$-804]aaa"/>
    <numFmt numFmtId="8" formatCode="&quot;￥&quot;#,##0.00;[Red]&quot;￥&quot;\-#,##0.00"/>
    <numFmt numFmtId="25" formatCode="\$#,##0.00_);\(\$#,##0.00\)"/>
    <numFmt numFmtId="181" formatCode="h:mm:ss\ AM/PM"/>
    <numFmt numFmtId="6" formatCode="&quot;￥&quot;#,##0;[Red]&quot;￥&quot;\-#,##0"/>
    <numFmt numFmtId="182" formatCode="[$-804]aaaa"/>
    <numFmt numFmtId="23" formatCode="\$#,##0_);\(\$#,##0\)"/>
    <numFmt numFmtId="183" formatCode="yy/m/d"/>
    <numFmt numFmtId="184" formatCode="dd\-mmm\-yy"/>
    <numFmt numFmtId="185" formatCode="mmmm\-yy"/>
    <numFmt numFmtId="186" formatCode="yyyy/m/d\ h:mm\ AM/PM"/>
    <numFmt numFmtId="187" formatCode="[DBNum1]h&quot;时&quot;mm&quot;分&quot;"/>
    <numFmt numFmtId="188" formatCode="h:mm\ AM/PM"/>
    <numFmt numFmtId="189" formatCode="\¥#,##0;\¥\-#,##0"/>
    <numFmt numFmtId="190" formatCode="#\ ??"/>
    <numFmt numFmtId="191" formatCode="\¥#,##0.00;\¥\-#,##0.00"/>
    <numFmt numFmtId="192" formatCode="[DBNum1][$-804]m&quot;月&quot;d&quot;日&quot;"/>
    <numFmt numFmtId="193" formatCode="mmmmm\-yy"/>
    <numFmt numFmtId="194" formatCode="#\ ?/?"/>
    <numFmt numFmtId="41" formatCode="_ * #,##0_ ;_ * \-#,##0_ ;_ * &quot;-&quot;_ ;_ @_ "/>
    <numFmt numFmtId="195" formatCode="[DBNum1][$-804]yyyy&quot;年&quot;m&quot;月&quot;d&quot;日&quot;"/>
    <numFmt numFmtId="44" formatCode="_ &quot;￥&quot;* #,##0.00_ ;_ &quot;￥&quot;* \-#,##0.00_ ;_ &quot;￥&quot;* &quot;-&quot;??_ ;_ @_ "/>
    <numFmt numFmtId="196" formatCode="m/d"/>
    <numFmt numFmtId="197" formatCode="mmmmm"/>
    <numFmt numFmtId="198" formatCode="[DBNum1]上午/下午h&quot;时&quot;mm&quot;分&quot;"/>
    <numFmt numFmtId="199" formatCode="mm/dd/yy"/>
  </numFmts>
  <fonts count="22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9C5700"/>
      <name val="等线"/>
      <charset val="134"/>
    </font>
    <font>
      <sz val="11"/>
      <color rgb="FF9C0006"/>
      <name val="等线"/>
      <charset val="134"/>
      <scheme val="minor"/>
    </font>
    <font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0" fillId="2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1" fillId="31" borderId="5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3" borderId="0"/>
    <xf numFmtId="0" fontId="9" fillId="13" borderId="0" applyNumberFormat="0" applyBorder="0" applyAlignment="0" applyProtection="0">
      <alignment vertical="center"/>
    </xf>
    <xf numFmtId="0" fontId="2" fillId="2" borderId="0"/>
    <xf numFmtId="0" fontId="9" fillId="23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6" fillId="4" borderId="0"/>
    <xf numFmtId="0" fontId="17" fillId="10" borderId="3" applyNumberFormat="0" applyAlignment="0" applyProtection="0">
      <alignment vertical="center"/>
    </xf>
    <xf numFmtId="0" fontId="20" fillId="15" borderId="8" applyNumberFormat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41" fontId="0" fillId="0" borderId="0" applyFon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</cellStyleXfs>
  <cellXfs count="9">
    <xf numFmtId="0" fontId="0" fillId="0" borderId="0" xfId="0"/>
    <xf numFmtId="0" fontId="1" fillId="0" borderId="0" xfId="41"/>
    <xf numFmtId="0" fontId="2" fillId="2" borderId="0" xfId="19"/>
    <xf numFmtId="0" fontId="3" fillId="0" borderId="0" xfId="0" applyNumberFormat="1" applyFont="1" applyAlignment="1">
      <alignment vertical="center"/>
    </xf>
    <xf numFmtId="0" fontId="3" fillId="0" borderId="0" xfId="0" applyNumberFormat="1" applyFont="1"/>
    <xf numFmtId="0" fontId="4" fillId="3" borderId="0" xfId="17"/>
    <xf numFmtId="14" fontId="0" fillId="0" borderId="0" xfId="0" applyNumberFormat="1"/>
    <xf numFmtId="0" fontId="5" fillId="3" borderId="0" xfId="17"/>
    <xf numFmtId="0" fontId="6" fillId="4" borderId="0" xfId="22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tabSelected="1" workbookViewId="0">
      <selection activeCell="K2" sqref="K2:Q11"/>
    </sheetView>
  </sheetViews>
  <sheetFormatPr defaultColWidth="9" defaultRowHeight="14.25"/>
  <cols>
    <col min="13" max="14" width="10.4666666666667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7" t="s">
        <v>14</v>
      </c>
      <c r="P1" s="5" t="s">
        <v>15</v>
      </c>
      <c r="Q1" s="5" t="s">
        <v>16</v>
      </c>
      <c r="R1" s="5" t="s">
        <v>17</v>
      </c>
      <c r="S1" s="5"/>
      <c r="T1" s="8"/>
    </row>
    <row r="2" spans="1:20">
      <c r="A2" t="str">
        <f t="shared" ref="A2:A11" si="0">_xlfn.CONCAT("NodeRed-1-",TEXT(ROW()-1,"000000"))</f>
        <v>NodeRed-1-000001</v>
      </c>
      <c r="B2" t="s">
        <v>18</v>
      </c>
      <c r="C2" s="3" t="s">
        <v>19</v>
      </c>
      <c r="D2" s="3" t="s">
        <v>20</v>
      </c>
      <c r="E2" s="3" t="s">
        <v>21</v>
      </c>
      <c r="F2" s="4" t="s">
        <v>22</v>
      </c>
      <c r="G2" s="3" t="s">
        <v>23</v>
      </c>
      <c r="H2" t="s">
        <v>24</v>
      </c>
      <c r="I2" t="s">
        <v>25</v>
      </c>
      <c r="J2" s="6">
        <v>46014</v>
      </c>
      <c r="K2" t="s">
        <v>26</v>
      </c>
      <c r="L2" t="s">
        <v>18</v>
      </c>
      <c r="M2" s="3" t="s">
        <v>27</v>
      </c>
      <c r="N2" t="s">
        <v>28</v>
      </c>
      <c r="O2" t="s">
        <v>18</v>
      </c>
      <c r="P2" t="s">
        <v>29</v>
      </c>
      <c r="Q2" t="s">
        <v>30</v>
      </c>
      <c r="S2" t="s">
        <v>18</v>
      </c>
      <c r="T2" t="s">
        <v>18</v>
      </c>
    </row>
    <row r="3" spans="1:20">
      <c r="A3" t="str">
        <f t="shared" si="0"/>
        <v>NodeRed-1-000002</v>
      </c>
      <c r="B3" t="s">
        <v>18</v>
      </c>
      <c r="C3" s="3" t="s">
        <v>19</v>
      </c>
      <c r="D3" s="3" t="s">
        <v>20</v>
      </c>
      <c r="E3" s="3" t="s">
        <v>21</v>
      </c>
      <c r="F3" s="4" t="s">
        <v>22</v>
      </c>
      <c r="G3" s="3" t="s">
        <v>23</v>
      </c>
      <c r="H3" t="s">
        <v>31</v>
      </c>
      <c r="I3" t="s">
        <v>25</v>
      </c>
      <c r="J3" s="6">
        <v>46014</v>
      </c>
      <c r="K3" t="s">
        <v>32</v>
      </c>
      <c r="L3" t="s">
        <v>18</v>
      </c>
      <c r="M3" s="3" t="s">
        <v>27</v>
      </c>
      <c r="N3" t="s">
        <v>33</v>
      </c>
      <c r="O3" t="s">
        <v>18</v>
      </c>
      <c r="P3" t="s">
        <v>34</v>
      </c>
      <c r="Q3" t="s">
        <v>35</v>
      </c>
      <c r="S3" t="s">
        <v>18</v>
      </c>
      <c r="T3" t="s">
        <v>18</v>
      </c>
    </row>
    <row r="4" spans="1:20">
      <c r="A4" t="str">
        <f t="shared" si="0"/>
        <v>NodeRed-1-000003</v>
      </c>
      <c r="B4" t="s">
        <v>18</v>
      </c>
      <c r="C4" s="3" t="s">
        <v>19</v>
      </c>
      <c r="D4" s="3" t="s">
        <v>20</v>
      </c>
      <c r="E4" s="3" t="s">
        <v>21</v>
      </c>
      <c r="F4" s="4" t="s">
        <v>22</v>
      </c>
      <c r="G4" s="3" t="s">
        <v>23</v>
      </c>
      <c r="H4" t="s">
        <v>24</v>
      </c>
      <c r="I4" t="s">
        <v>25</v>
      </c>
      <c r="J4" s="6">
        <v>46014</v>
      </c>
      <c r="K4" t="s">
        <v>36</v>
      </c>
      <c r="L4" t="s">
        <v>18</v>
      </c>
      <c r="M4" s="3" t="s">
        <v>27</v>
      </c>
      <c r="N4" t="s">
        <v>37</v>
      </c>
      <c r="O4" t="s">
        <v>18</v>
      </c>
      <c r="P4" t="s">
        <v>29</v>
      </c>
      <c r="Q4" t="s">
        <v>38</v>
      </c>
      <c r="S4" t="s">
        <v>18</v>
      </c>
      <c r="T4" t="s">
        <v>18</v>
      </c>
    </row>
    <row r="5" spans="1:20">
      <c r="A5" t="str">
        <f t="shared" si="0"/>
        <v>NodeRed-1-000004</v>
      </c>
      <c r="B5" t="s">
        <v>18</v>
      </c>
      <c r="C5" s="3" t="s">
        <v>19</v>
      </c>
      <c r="D5" s="3" t="s">
        <v>20</v>
      </c>
      <c r="E5" s="3" t="s">
        <v>21</v>
      </c>
      <c r="F5" s="4" t="s">
        <v>22</v>
      </c>
      <c r="G5" s="3" t="s">
        <v>23</v>
      </c>
      <c r="H5" t="s">
        <v>39</v>
      </c>
      <c r="I5" t="s">
        <v>25</v>
      </c>
      <c r="J5" s="6">
        <v>46014</v>
      </c>
      <c r="K5" t="s">
        <v>40</v>
      </c>
      <c r="L5" t="s">
        <v>18</v>
      </c>
      <c r="M5" s="3" t="s">
        <v>27</v>
      </c>
      <c r="N5" t="s">
        <v>41</v>
      </c>
      <c r="O5" t="s">
        <v>18</v>
      </c>
      <c r="P5" t="s">
        <v>42</v>
      </c>
      <c r="Q5" t="s">
        <v>43</v>
      </c>
      <c r="S5" t="s">
        <v>18</v>
      </c>
      <c r="T5" t="s">
        <v>18</v>
      </c>
    </row>
    <row r="6" spans="1:20">
      <c r="A6" t="str">
        <f t="shared" si="0"/>
        <v>NodeRed-1-000005</v>
      </c>
      <c r="B6" t="s">
        <v>18</v>
      </c>
      <c r="C6" s="3" t="s">
        <v>19</v>
      </c>
      <c r="D6" s="3" t="s">
        <v>20</v>
      </c>
      <c r="E6" s="3" t="s">
        <v>21</v>
      </c>
      <c r="F6" s="4" t="s">
        <v>22</v>
      </c>
      <c r="G6" s="3" t="s">
        <v>23</v>
      </c>
      <c r="H6" t="s">
        <v>31</v>
      </c>
      <c r="I6" t="s">
        <v>25</v>
      </c>
      <c r="J6" s="6">
        <v>46014</v>
      </c>
      <c r="K6" t="s">
        <v>44</v>
      </c>
      <c r="L6" t="s">
        <v>18</v>
      </c>
      <c r="M6" s="3" t="s">
        <v>27</v>
      </c>
      <c r="N6" t="s">
        <v>45</v>
      </c>
      <c r="O6" t="s">
        <v>18</v>
      </c>
      <c r="P6" t="s">
        <v>46</v>
      </c>
      <c r="Q6" t="s">
        <v>47</v>
      </c>
      <c r="S6" t="s">
        <v>18</v>
      </c>
      <c r="T6" t="s">
        <v>18</v>
      </c>
    </row>
    <row r="7" spans="1:20">
      <c r="A7" t="str">
        <f t="shared" si="0"/>
        <v>NodeRed-1-000006</v>
      </c>
      <c r="B7" t="s">
        <v>18</v>
      </c>
      <c r="C7" s="3" t="s">
        <v>19</v>
      </c>
      <c r="D7" s="3" t="s">
        <v>20</v>
      </c>
      <c r="E7" s="3" t="s">
        <v>21</v>
      </c>
      <c r="F7" s="4" t="s">
        <v>22</v>
      </c>
      <c r="G7" s="3" t="s">
        <v>23</v>
      </c>
      <c r="H7" t="s">
        <v>48</v>
      </c>
      <c r="I7" t="s">
        <v>25</v>
      </c>
      <c r="J7" s="6">
        <v>46014</v>
      </c>
      <c r="K7" t="s">
        <v>49</v>
      </c>
      <c r="L7" t="s">
        <v>18</v>
      </c>
      <c r="M7" s="3" t="s">
        <v>27</v>
      </c>
      <c r="N7" t="s">
        <v>50</v>
      </c>
      <c r="O7" t="s">
        <v>18</v>
      </c>
      <c r="P7" t="s">
        <v>51</v>
      </c>
      <c r="Q7" t="s">
        <v>52</v>
      </c>
      <c r="S7" t="s">
        <v>18</v>
      </c>
      <c r="T7" t="s">
        <v>18</v>
      </c>
    </row>
    <row r="8" spans="1:20">
      <c r="A8" t="str">
        <f t="shared" si="0"/>
        <v>NodeRed-1-000007</v>
      </c>
      <c r="B8" t="s">
        <v>18</v>
      </c>
      <c r="C8" s="3" t="s">
        <v>19</v>
      </c>
      <c r="D8" s="3" t="s">
        <v>20</v>
      </c>
      <c r="E8" s="3" t="s">
        <v>21</v>
      </c>
      <c r="F8" s="4" t="s">
        <v>22</v>
      </c>
      <c r="G8" s="3" t="s">
        <v>23</v>
      </c>
      <c r="H8" t="s">
        <v>39</v>
      </c>
      <c r="I8" t="s">
        <v>25</v>
      </c>
      <c r="J8" s="6">
        <v>46014</v>
      </c>
      <c r="K8" t="s">
        <v>53</v>
      </c>
      <c r="L8" t="s">
        <v>18</v>
      </c>
      <c r="M8" s="3" t="s">
        <v>27</v>
      </c>
      <c r="N8" t="s">
        <v>54</v>
      </c>
      <c r="O8" t="s">
        <v>18</v>
      </c>
      <c r="P8" t="s">
        <v>55</v>
      </c>
      <c r="Q8" t="s">
        <v>56</v>
      </c>
      <c r="S8" t="s">
        <v>18</v>
      </c>
      <c r="T8" t="s">
        <v>18</v>
      </c>
    </row>
    <row r="9" spans="1:20">
      <c r="A9" t="str">
        <f t="shared" si="0"/>
        <v>NodeRed-1-000008</v>
      </c>
      <c r="B9" t="s">
        <v>18</v>
      </c>
      <c r="C9" s="3" t="s">
        <v>19</v>
      </c>
      <c r="D9" s="3" t="s">
        <v>20</v>
      </c>
      <c r="E9" s="3" t="s">
        <v>21</v>
      </c>
      <c r="F9" s="4" t="s">
        <v>22</v>
      </c>
      <c r="G9" s="3" t="s">
        <v>23</v>
      </c>
      <c r="H9" t="s">
        <v>57</v>
      </c>
      <c r="I9" t="s">
        <v>25</v>
      </c>
      <c r="J9" s="6">
        <v>46014</v>
      </c>
      <c r="K9" t="s">
        <v>58</v>
      </c>
      <c r="L9" t="s">
        <v>18</v>
      </c>
      <c r="M9" s="3" t="s">
        <v>27</v>
      </c>
      <c r="N9" t="s">
        <v>59</v>
      </c>
      <c r="O9" t="s">
        <v>18</v>
      </c>
      <c r="P9" t="s">
        <v>60</v>
      </c>
      <c r="Q9" t="s">
        <v>61</v>
      </c>
      <c r="S9" t="s">
        <v>18</v>
      </c>
      <c r="T9" t="s">
        <v>18</v>
      </c>
    </row>
    <row r="10" spans="1:20">
      <c r="A10" t="str">
        <f t="shared" si="0"/>
        <v>NodeRed-1-000009</v>
      </c>
      <c r="B10" t="s">
        <v>18</v>
      </c>
      <c r="C10" s="3" t="s">
        <v>19</v>
      </c>
      <c r="D10" s="3" t="s">
        <v>20</v>
      </c>
      <c r="E10" s="3" t="s">
        <v>21</v>
      </c>
      <c r="F10" s="4" t="s">
        <v>22</v>
      </c>
      <c r="G10" s="3" t="s">
        <v>23</v>
      </c>
      <c r="H10" t="s">
        <v>62</v>
      </c>
      <c r="I10" t="s">
        <v>25</v>
      </c>
      <c r="J10" s="6">
        <v>46014</v>
      </c>
      <c r="K10" t="s">
        <v>63</v>
      </c>
      <c r="L10" t="s">
        <v>18</v>
      </c>
      <c r="M10" s="3" t="s">
        <v>27</v>
      </c>
      <c r="N10" t="s">
        <v>64</v>
      </c>
      <c r="O10" t="s">
        <v>18</v>
      </c>
      <c r="P10" t="s">
        <v>65</v>
      </c>
      <c r="Q10" t="s">
        <v>66</v>
      </c>
      <c r="S10" t="s">
        <v>18</v>
      </c>
      <c r="T10" t="s">
        <v>18</v>
      </c>
    </row>
    <row r="11" spans="1:20">
      <c r="A11" t="str">
        <f t="shared" si="0"/>
        <v>NodeRed-1-000010</v>
      </c>
      <c r="B11" t="s">
        <v>18</v>
      </c>
      <c r="C11" s="3" t="s">
        <v>19</v>
      </c>
      <c r="D11" s="3" t="s">
        <v>20</v>
      </c>
      <c r="E11" s="3" t="s">
        <v>21</v>
      </c>
      <c r="F11" s="4" t="s">
        <v>22</v>
      </c>
      <c r="G11" s="3" t="s">
        <v>23</v>
      </c>
      <c r="H11" t="s">
        <v>67</v>
      </c>
      <c r="I11" t="s">
        <v>25</v>
      </c>
      <c r="J11" s="6">
        <v>46014</v>
      </c>
      <c r="K11" t="s">
        <v>68</v>
      </c>
      <c r="L11" t="s">
        <v>18</v>
      </c>
      <c r="M11" s="3" t="s">
        <v>27</v>
      </c>
      <c r="N11" t="s">
        <v>69</v>
      </c>
      <c r="O11" t="s">
        <v>18</v>
      </c>
      <c r="P11" t="s">
        <v>29</v>
      </c>
      <c r="Q11" t="s">
        <v>70</v>
      </c>
      <c r="S11" t="s">
        <v>18</v>
      </c>
      <c r="T11" t="s">
        <v>18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40" zoomScaleNormal="140" workbookViewId="0">
      <selection activeCell="O5" sqref="A5:O5"/>
    </sheetView>
  </sheetViews>
  <sheetFormatPr defaultColWidth="9" defaultRowHeight="14.25"/>
  <cols>
    <col min="1" max="1" width="27.6" customWidth="1"/>
    <col min="3" max="3" width="38.5333333333333" customWidth="1"/>
    <col min="4" max="4" width="11.5333333333333" customWidth="1"/>
    <col min="11" max="11" width="12.7333333333333" customWidth="1"/>
  </cols>
  <sheetData>
    <row r="1" spans="1:12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</row>
    <row r="2" spans="1:12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88</v>
      </c>
      <c r="L2" t="s">
        <v>93</v>
      </c>
    </row>
    <row r="40" spans="10:10">
      <c r="J40" s="1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WWO_wpscloud_20230718170107-99701b6a8c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全文字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myspring</dc:creator>
  <cp:lastModifiedBy>Jerry Hike</cp:lastModifiedBy>
  <dcterms:created xsi:type="dcterms:W3CDTF">2015-06-06T18:19:00Z</dcterms:created>
  <dcterms:modified xsi:type="dcterms:W3CDTF">2026-01-23T18:05:00Z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