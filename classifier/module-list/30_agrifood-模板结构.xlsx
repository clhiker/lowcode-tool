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<sst xmlns="http://schemas.openxmlformats.org/spreadsheetml/2006/main" count="535" uniqueCount="183">
  <si>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</si>
  <si>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</si>
  <si>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</si>
  <si>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</si>
  <si>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</si>
  <si>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</si>
  <si>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</si>
  <si>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</si>
  <si>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</si>
  <si>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</si>
  <si>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</si>
  <si>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</si>
  <si>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</si>
  <si>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</si>
  <si>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</si>
  <si>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</si>
  <si>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</si>
  <si>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</si>
  <si>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</si>
  <si>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NodeRed模板</t>
  </si>
  <si>
    <t>json</t>
  </si>
  <si>
    <t>NodeRed</t>
  </si>
  <si>
    <t>原生模板</t>
  </si>
  <si>
    <t>智慧农业</t>
  </si>
  <si>
    <t>温度处理</t>
  </si>
  <si>
    <t>陈乐</t>
  </si>
  <si>
    <t>从IBM IoT事件中提取温度数据并将其赋值给消息负载，以便后续节点可以使用更新后的温度信息进行进一步的逻辑判断或展示。</t>
  </si>
  <si>
    <t>json_nodered_smart_agrifood.tar.gz</t>
  </si>
  <si>
    <t>1.json</t>
  </si>
  <si>
    <t>rut00/Smart-Agriculture-System-based-on-IoT</t>
  </si>
  <si>
    <t>https://github.com/rut00/Smart-Agriculture-System-based-on-IoT/blob/56720dba4797c7bef56f3f000c3f351db7f4b5c7/flows.json</t>
  </si>
  <si>
    <t>智能喂食器</t>
  </si>
  <si>
    <t>通过IBM IoT平台接收宠物喂食器的状态信息，实现远程监控与自动化管理。</t>
  </si>
  <si>
    <t>2.json</t>
  </si>
  <si>
    <t>smartinternz02/SI-GuidedProject-6912-1639217947</t>
  </si>
  <si>
    <t>https://github.com/smartinternz02/SI-GuidedProject-6912-1639217947/blob/da62b7fe135a38335a071d8f30c89ce290f6186b/Node-red/AutomaticPetFeederFlow.json</t>
  </si>
  <si>
    <t>土壤湿度监测</t>
  </si>
  <si>
    <t>读取IBM IoT平台发送的土壤湿度数据，并将其存储在全局变量中以便后续处理和分析。</t>
  </si>
  <si>
    <t>3.json</t>
  </si>
  <si>
    <t>smartinternz02/SI-GuidedProject-2975-1623403462</t>
  </si>
  <si>
    <t>https://github.com/smartinternz02/SI-GuidedProject-2975-1623403462/blob/45aaee19731fdd17b665642287042b68195a4266/smart_agriculture_node_red.json</t>
  </si>
  <si>
    <t>通过IBM IoT接收宠物喂食器状态信息，采用apiKey认证方式，设备类型为IoT_PetFeeder，事件类型为status。</t>
  </si>
  <si>
    <t>4.json</t>
  </si>
  <si>
    <t>smartinternz02/SI-GuidedProject-6913-1639217949</t>
  </si>
  <si>
    <t>https://github.com/smartinternz02/SI-GuidedProject-6913-1639217949/blob/ce4bcb0c3a9a8975d32c441e8647872f34f1e22d/Node-red/AutomaticPetFeederFlow.json</t>
  </si>
  <si>
    <t>参数设置</t>
  </si>
  <si>
    <t>从全局变量获取必要信息并构造请求消息，包括URL、负载数据和头部信息，用于向Aqara服务器发送查询指令。</t>
  </si>
  <si>
    <t>5.json</t>
  </si>
  <si>
    <t>sdavides/AqaraPOST-Homeassistant</t>
  </si>
  <si>
    <t>https://github.com/sdavides/AqaraPOST-Homeassistant/blob/370aed4a39ff32332368eaa9514294bc83d8afb3/Aqara_FP2_nodered.json</t>
  </si>
  <si>
    <t>通过自动化控制实现对宠物定时定量投喂，支持远程监控与调整喂食计划的智能硬件系统。</t>
  </si>
  <si>
    <t>6.json</t>
  </si>
  <si>
    <t>Thaidaongoc24/IoT-Smart-Pet-Feeder</t>
  </si>
  <si>
    <t>https://github.com/Thaidaongoc24/IoT-Smart-Pet-Feeder/blob/6f47e83fd150bde6beaa23af2fb42ca707cf906a/node-red-data/flows.json</t>
  </si>
  <si>
    <t>物联网农业</t>
  </si>
  <si>
    <t>创建并配置智能农业界面，通过UI_TAB组件展示和管理基于IBM IoT的农业数据。</t>
  </si>
  <si>
    <t>7.json</t>
  </si>
  <si>
    <t>aniketab/Smart-Agriculture-Based-on-IoT-using-IBM-Cloud</t>
  </si>
  <si>
    <t>https://github.com/aniketab/Smart-Agriculture-Based-on-IoT-using-IBM-Cloud/blob/9fdc534b0d2b924508b4675713e1ecd5f98c7517/flows.json</t>
  </si>
  <si>
    <t>温度监控</t>
  </si>
  <si>
    <t>读取温传感器数据并在界面上显示空气温度，通过不同颜色区分温度范围。</t>
  </si>
  <si>
    <t>8.json</t>
  </si>
  <si>
    <t>GiorgosDen/Platforms-Tools</t>
  </si>
  <si>
    <t>https://github.com/GiorgosDen/Platforms-Tools/blob/668db3403ce4c5c786220c4198798d4b72e4df34/Node%20Red/Node%20Red%20Example1/Flows/GeorgeField1.json</t>
  </si>
  <si>
    <t>接收IBM IoT平台的设备事件数据并提取土壤湿度值进行全局变量设置，以便后续模块使用。</t>
  </si>
  <si>
    <t>9.json</t>
  </si>
  <si>
    <t>smartinternz02/SI-GuidedProject-2976-1623403497</t>
  </si>
  <si>
    <t>https://github.com/smartinternz02/SI-GuidedProject-2976-1623403497/blob/cbf868e675d1889a3dfdd77da2e525ac3984ae6a/smart_agriculture_node_red.json</t>
  </si>
  <si>
    <t>水位监测</t>
  </si>
  <si>
    <t>从IBM IoT接收AkshuDevice设备的事件数据，提取并处理水位信息，通过调试节点输出payload中的waterlevel字段。</t>
  </si>
  <si>
    <t>10.json</t>
  </si>
  <si>
    <t>smartinternz02/SI-GuidedProject-4751-1627031351</t>
  </si>
  <si>
    <t>https://github.com/smartinternz02/SI-GuidedProject-4751-1627031351/blob/e834dee8de0f59d011b7708a99e54fae586b899a/node-red/flows.json</t>
  </si>
  <si>
    <t>订阅温度传感器数据并显示空气温度的实时数值，范围从-15到45度，并使用不同的颜色区分低温、适中和高温区间。</t>
  </si>
  <si>
    <t>11.json</t>
  </si>
  <si>
    <t>https://github.com/GiorgosDen/Platforms-Tools/blob/668db3403ce4c5c786220c4198798d4b72e4df34/Node%20Red/Node%20Red%20Example1/Flows/EleniField4.json</t>
  </si>
  <si>
    <t>智能仪表盘</t>
  </si>
  <si>
    <t>提供SmartChill系统的登录验证及主要仪表盘视图，支持基础UI定制和客户端配置接受。</t>
  </si>
  <si>
    <t>12.json</t>
  </si>
  <si>
    <t>AlexDuchaine19/SmartChill</t>
  </si>
  <si>
    <t>https://github.com/AlexDuchaine19/SmartChill/blob/ac8d02e90fc6b6da5419b323ca39b0dda4f390a1/nodered_data/projects/SmartChill/flows.json</t>
  </si>
  <si>
    <t>UI主题设置</t>
  </si>
  <si>
    <t>配置应用的亮色和暗色模式的主题颜色及字体，支持自定义修改并保存不同风格的主题方案。</t>
  </si>
  <si>
    <t>13.json</t>
  </si>
  <si>
    <t>LacTQuan/IOT-VLDC2</t>
  </si>
  <si>
    <t>https://github.com/LacTQuan/IOT-VLDC2/blob/e610159aead6526d1bd00115d41177f9e445ca94/node-red/flows.json</t>
  </si>
  <si>
    <t>数据历史</t>
  </si>
  <si>
    <t>从ThingSpeak读取设备数据历史记录以进行分析和监控。</t>
  </si>
  <si>
    <t>14.json</t>
  </si>
  <si>
    <t>VanwPham/AquaSmart</t>
  </si>
  <si>
    <t>https://github.com/VanwPham/AquaSmart/blob/4a7a73a533c360d1269c07c66902b2e6846e2cfd/flows.json</t>
  </si>
  <si>
    <t>智能线材存储</t>
  </si>
  <si>
    <t>创建个性化界面的智能线材存储系统，集成Octoprint与Spool Manager，跟踪使用情况并显示每个盒子内的温度和湿度信息。</t>
  </si>
  <si>
    <t>15.json</t>
  </si>
  <si>
    <t>notenoughtech/NodeRED-Projects</t>
  </si>
  <si>
    <t>https://github.com/notenoughtech/NodeRED-Projects/blob/4f507cdb6e450143106f6e236502de031fa681a1/Smart%20Filament%20Storage/Smart%20Filament%20Storage.json</t>
  </si>
  <si>
    <t>智能农业</t>
  </si>
  <si>
    <t>利用MQTT协议连接服务器实现农田环境数据的实时采集和传输，支持远程监控与管理农作物生长情况。</t>
  </si>
  <si>
    <t>16.json</t>
  </si>
  <si>
    <t>Sabreclaw/Smart-Agriculture</t>
  </si>
  <si>
    <t>https://github.com/Sabreclaw/Smart-Agriculture/blob/fd25d1acb8c667eece0016f4c445c445aaefcdaf/nodered-custom/data/flows.json</t>
  </si>
  <si>
    <t>配置IoT连接与用户界面，实现智能农业监控系统。</t>
  </si>
  <si>
    <t>17.json</t>
  </si>
  <si>
    <t>Kaiparajeswari/upskillcampus</t>
  </si>
  <si>
    <t>https://github.com/Kaiparajeswari/upskillcampus/blob/d9dfe379164d71783eeab3b0b7d76b8fad3d9d13/BankinginformationSystem.flows.json</t>
  </si>
  <si>
    <t>环境监测</t>
  </si>
  <si>
    <t>基于物联网的智能农业系统，用于读取并处理湿度、温度和土壤湿度数据。</t>
  </si>
  <si>
    <t>18.json</t>
  </si>
  <si>
    <t>smartinternz02/SI-GuidedProject-4539-1626949378</t>
  </si>
  <si>
    <t>https://github.com/smartinternz02/SI-GuidedProject-4539-1626949378/blob/ba1de581bbe6342fd6fcfc43f14e933b82630eea/NODE-RED-FLOW(JSON).json</t>
  </si>
  <si>
    <t>温感显示</t>
  </si>
  <si>
    <t>接收温度传感器数据并通过仪表盘实时展示空气温度，设置警戒范围和颜色提示。</t>
  </si>
  <si>
    <t>19.json</t>
  </si>
  <si>
    <t>https://github.com/GiorgosDen/Platforms-Tools/blob/668db3403ce4c5c786220c4198798d4b72e4df34/Node%20Red/Node%20Red%20Example1/Flows/EleniField5.json</t>
  </si>
  <si>
    <t>温度监测</t>
  </si>
  <si>
    <t>订阅温度传感器数据并显示空气温度的实时变化，范围从-15到45度，并通过颜色区分不同温区。</t>
  </si>
  <si>
    <t>20.json</t>
  </si>
  <si>
    <t>https://github.com/GiorgosDen/Platforms-Tools/blob/668db3403ce4c5c786220c4198798d4b72e4df34/Node%20Red/Node%20Red%20Example1/Flows/GeorgeField3.json</t>
  </si>
  <si>
    <t>项目信息提醒</t>
  </si>
  <si>
    <t>提供项目事件的功能性信息和提醒，仅供文档参考，无实际流程操作，在产品发布前需移除内部开发注释。</t>
  </si>
  <si>
    <t>21.json</t>
  </si>
  <si>
    <t>surfd4wg/radarblip</t>
  </si>
  <si>
    <t>https://github.com/surfd4wg/radarblip/blob/07af3bbb76abbd1cee9b78bcee353b0a5379b9b9/flows.json</t>
  </si>
  <si>
    <t>水位检测</t>
  </si>
  <si>
    <t>从IBM IoT平台接收AkshuDevice设备的事件数据，提取waterlevel字段内容并输出调试信息。</t>
  </si>
  <si>
    <t>22.json</t>
  </si>
  <si>
    <t>smartinternz02/SI-GuidedProject-4750-1627031348</t>
  </si>
  <si>
    <t>https://github.com/smartinternz02/SI-GuidedProject-4750-1627031348/blob/98cefe537259e4acaca1fbddcd1514f86ee068b4/Node%20Red/flows.json</t>
  </si>
  <si>
    <t>接收温湿度传感器数据并在界面上显示空气温度，提供直观的温度变化反馈。</t>
  </si>
  <si>
    <t>23.json</t>
  </si>
  <si>
    <t>https://github.com/GiorgosDen/Platforms-Tools/blob/668db3403ce4c5c786220c4198798d4b72e4df34/Node%20Red/Node%20Red%20Example1/Flows/GeorgeField2.json</t>
  </si>
  <si>
    <t>任务重启</t>
  </si>
  <si>
    <t>接收输入并根据条件决定是否执行系统或服务的重新启动操作，输出不同的结果信号。</t>
  </si>
  <si>
    <t>24.json</t>
  </si>
  <si>
    <t>ozdeadmeat/DDC2</t>
  </si>
  <si>
    <t>https://github.com/ozdeadmeat/DDC2/blob/4df2669946b8be798a64b8024f393f442a0d7ab2/DDC2.json</t>
  </si>
  <si>
    <t>温湿度数据处理</t>
  </si>
  <si>
    <t>从MQTT主题smart/agriculture/data订阅的JSON消息中提取温度和湿度值，并分别发送到对应的UI仪表盘。</t>
  </si>
  <si>
    <t>25.json</t>
  </si>
  <si>
    <t>Mohammad-Faiz-Shaikh/Smart-Agriculture-System</t>
  </si>
  <si>
    <t>https://github.com/Mohammad-Faiz-Shaikh/Smart-Agriculture-System/blob/bfceeede424ec0ede9b306f4c1e7d36d35f87535/software/node_red_flows/node_red_hivemq_flow.json</t>
  </si>
  <si>
    <t>读取IBM IoT平台中AkshuDevice设备的水位事件，并将payload内容更新为具体的水位数值，便于后续处理和调试。</t>
  </si>
  <si>
    <t>26.json</t>
  </si>
  <si>
    <t>smartinternz02/SI-GuidedProject-4752-1627031354</t>
  </si>
  <si>
    <t>https://github.com/smartinternz02/SI-GuidedProject-4752-1627031354/blob/3aa50dd075edce882e7a7d26849b2f15b38acff6/Node%20Red/flows.json</t>
  </si>
  <si>
    <t>天气限速</t>
  </si>
  <si>
    <t>根据湿度、云层状况和风速调整车辆最大行驶速度，并通过全局变量及消息输出更新限速值。</t>
  </si>
  <si>
    <t>27.json</t>
  </si>
  <si>
    <t>smartinternz02/SI-GuidedProject-2701-1622645815</t>
  </si>
  <si>
    <t>https://github.com/smartinternz02/SI-GuidedProject-2701-1622645815/blob/77923d60f5f650168b44c6ed6662b33463ab89f5/flows.json</t>
  </si>
  <si>
    <t>无人机控制</t>
  </si>
  <si>
    <t>通过UDP协议向指定地址发送Tello无人机命令，并处理CRC校验，实现对无人机的远程操控。</t>
  </si>
  <si>
    <t>28.json</t>
  </si>
  <si>
    <t>johnwalicki/Node-RED-Tello-Control</t>
  </si>
  <si>
    <t>https://github.com/johnwalicki/Node-RED-Tello-Control/blob/d02de271dc12fafd2f22772ba1b8ecc371356b4c/flows/solutions/part9_solution.json</t>
  </si>
  <si>
    <t>智能家居集成</t>
  </si>
  <si>
    <t>配置Google智能家居协议客户端，支持语言设置和安全传输，实现与Google Home的设备状态同步及控制。</t>
  </si>
  <si>
    <t>29.json</t>
  </si>
  <si>
    <t>mikejac/node-red-contrib-google-smarthome</t>
  </si>
  <si>
    <t>https://github.com/mikejac/node-red-contrib-google-smarthome/blob/7ad50bb774ca73b5d04c5ef3c60a491706da295e/test/sh/flows.json</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</si>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</sst>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DBNum1][$-804]yyyy&quot;年&quot;m&quot;月&quot;"/>
    <numFmt numFmtId="6" formatCode="&quot;￥&quot;#,##0;[Red]&quot;￥&quot;\-#,##0"/>
    <numFmt numFmtId="23" formatCode="\$#,##0_);\(\$#,##0\)"/>
    <numFmt numFmtId="177" formatCode="#\ ??/??"/>
    <numFmt numFmtId="5" formatCode="&quot;￥&quot;#,##0;&quot;￥&quot;\-#,##0"/>
    <numFmt numFmtId="24" formatCode="\$#,##0_);[Red]\(\$#,##0\)"/>
    <numFmt numFmtId="7" formatCode="&quot;￥&quot;#,##0.00;&quot;￥&quot;\-#,##0.00"/>
    <numFmt numFmtId="25" formatCode="\$#,##0.00_);\(\$#,##0.00\)"/>
    <numFmt numFmtId="26" formatCode="\$#,##0.00_);[Red]\(\$#,##0.00\)"/>
    <numFmt numFmtId="178" formatCode="[DBNum1]h&quot;时&quot;mm&quot;分&quot;"/>
    <numFmt numFmtId="179" formatCode="[DBNum1][$-804]yyyy&quot;年&quot;m&quot;月&quot;d&quot;日&quot;"/>
    <numFmt numFmtId="8" formatCode="&quot;￥&quot;#,##0.00;[Red]&quot;￥&quot;\-#,##0.00"/>
    <numFmt numFmtId="180" formatCode="mmmmm\-yy"/>
    <numFmt numFmtId="43" formatCode="_ * #,##0.00_ ;_ * \-#,##0.00_ ;_ * &quot;-&quot;??_ ;_ @_ "/>
    <numFmt numFmtId="181" formatCode="h:mm:ss\ AM/PM"/>
    <numFmt numFmtId="41" formatCode="_ * #,##0_ ;_ * \-#,##0_ ;_ * &quot;-&quot;_ ;_ @_ "/>
    <numFmt numFmtId="182" formatCode="yyyy/m/d\ h:mm\ AM/PM"/>
    <numFmt numFmtId="183" formatCode="#\ ??"/>
    <numFmt numFmtId="184" formatCode="yy/m/d"/>
    <numFmt numFmtId="185" formatCode="dd\-mmm\-yy"/>
    <numFmt numFmtId="186" formatCode="#\ ?/?"/>
    <numFmt numFmtId="187" formatCode="\¥#,##0.00;\¥\-#,##0.00"/>
    <numFmt numFmtId="188" formatCode="m/d"/>
    <numFmt numFmtId="189" formatCode="[$-804]aaa"/>
    <numFmt numFmtId="190" formatCode="mmmmm"/>
    <numFmt numFmtId="191" formatCode="\¥#,##0.00;[Red]\¥\-#,##0.00"/>
    <numFmt numFmtId="192" formatCode="[$-804]aaaa"/>
    <numFmt numFmtId="44" formatCode="_ &quot;￥&quot;* #,##0.00_ ;_ &quot;￥&quot;* \-#,##0.00_ ;_ &quot;￥&quot;* &quot;-&quot;??_ ;_ @_ "/>
    <numFmt numFmtId="193" formatCode="h:mm\ AM/PM"/>
    <numFmt numFmtId="194" formatCode="[DBNum1]上午/下午h&quot;时&quot;mm&quot;分&quot;"/>
    <numFmt numFmtId="195" formatCode="\¥#,##0;\¥\-#,##0"/>
    <numFmt numFmtId="196" formatCode="mmmm\-yy"/>
    <numFmt numFmtId="197" formatCode="mm/dd/yy"/>
    <numFmt numFmtId="198" formatCode="\¥#,##0;[Red]\¥\-#,##0"/>
    <numFmt numFmtId="199" formatCode="[DBNum1][$-804]m&quot;月&quot;d&quot;日&quot;"/>
    <numFmt numFmtId="42" formatCode="_ &quot;￥&quot;* #,##0_ ;_ &quot;￥&quot;* \-#,##0_ ;_ &quot;￥&quot;* &quot;-&quot;_ ;_ @_ "/>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sz val="11"/>
      <color theme="1"/>
      <name val="等线"/>
      <charset val="0"/>
      <scheme val="minor"/>
    </font>
    <font>
      <sz val="11"/>
      <color theme="0"/>
      <name val="等线"/>
      <charset val="0"/>
      <scheme val="minor"/>
    </font>
    <font>
      <b/>
      <sz val="13"/>
      <color theme="3"/>
      <name val="等线"/>
      <charset val="134"/>
      <scheme val="minor"/>
    </font>
    <font>
      <b/>
      <sz val="18"/>
      <color theme="3"/>
      <name val="等线"/>
      <charset val="134"/>
      <scheme val="minor"/>
    </font>
    <font>
      <sz val="11"/>
      <color rgb="FFFF0000"/>
      <name val="等线"/>
      <charset val="0"/>
      <scheme val="minor"/>
    </font>
    <font>
      <u/>
      <sz val="11"/>
      <color rgb="FF800080"/>
      <name val="等线"/>
      <charset val="0"/>
      <scheme val="minor"/>
    </font>
    <font>
      <b/>
      <sz val="11"/>
      <color theme="3"/>
      <name val="等线"/>
      <charset val="134"/>
      <scheme val="minor"/>
    </font>
    <font>
      <b/>
      <sz val="11"/>
      <color rgb="FF3F3F3F"/>
      <name val="等线"/>
      <charset val="0"/>
      <scheme val="minor"/>
    </font>
    <font>
      <b/>
      <sz val="11"/>
      <color rgb="FFFFFFFF"/>
      <name val="等线"/>
      <charset val="0"/>
      <scheme val="minor"/>
    </font>
    <font>
      <b/>
      <sz val="11"/>
      <color theme="1"/>
      <name val="等线"/>
      <charset val="0"/>
      <scheme val="minor"/>
    </font>
    <font>
      <b/>
      <sz val="15"/>
      <color theme="3"/>
      <name val="等线"/>
      <charset val="134"/>
      <scheme val="minor"/>
    </font>
    <font>
      <i/>
      <sz val="11"/>
      <color rgb="FF7F7F7F"/>
      <name val="等线"/>
      <charset val="0"/>
      <scheme val="minor"/>
    </font>
    <font>
      <b/>
      <sz val="11"/>
      <color rgb="FFFA7D00"/>
      <name val="等线"/>
      <charset val="0"/>
      <scheme val="minor"/>
    </font>
    <font>
      <sz val="11"/>
      <color rgb="FF3F3F76"/>
      <name val="等线"/>
      <charset val="0"/>
      <scheme val="minor"/>
    </font>
    <font>
      <sz val="11"/>
      <color rgb="FFFA7D00"/>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rgb="FFF2F2F2"/>
        <bgColor indexed="64"/>
      </patternFill>
    </fill>
    <fill>
      <patternFill patternType="solid">
        <fgColor rgb="FFA5A5A5"/>
        <bgColor indexed="64"/>
      </patternFill>
    </fill>
    <fill>
      <patternFill patternType="solid">
        <fgColor theme="7" tint="0.799981688894314"/>
        <bgColor indexed="64"/>
      </patternFill>
    </fill>
    <fill>
      <patternFill patternType="solid">
        <fgColor rgb="FFFFFFCC"/>
        <bgColor indexed="64"/>
      </patternFill>
    </fill>
    <fill>
      <patternFill patternType="solid">
        <fgColor theme="4" tint="0.799981688894314"/>
        <bgColor indexed="64"/>
      </patternFill>
    </fill>
    <fill>
      <patternFill patternType="solid">
        <fgColor theme="8"/>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4"/>
        <bgColor indexed="64"/>
      </patternFill>
    </fill>
    <fill>
      <patternFill patternType="solid">
        <fgColor theme="6"/>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CC99"/>
        <bgColor indexed="64"/>
      </patternFill>
    </fill>
    <fill>
      <patternFill patternType="solid">
        <fgColor theme="7"/>
        <bgColor indexed="64"/>
      </patternFill>
    </fill>
    <fill>
      <patternFill patternType="solid">
        <fgColor theme="5"/>
        <bgColor indexed="64"/>
      </patternFill>
    </fill>
    <fill>
      <patternFill patternType="solid">
        <fgColor theme="9" tint="0.399975585192419"/>
        <bgColor indexed="64"/>
      </patternFill>
    </fill>
    <fill>
      <patternFill patternType="solid">
        <fgColor theme="6" tint="0.399975585192419"/>
        <bgColor indexed="64"/>
      </patternFill>
    </fill>
  </fills>
  <borders count="9">
    <border>
      <left/>
      <right/>
      <top/>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xf numFmtId="0" fontId="8" fillId="31" borderId="0" applyNumberFormat="0" applyBorder="0" applyAlignment="0" applyProtection="0">
      <alignment vertical="center"/>
    </xf>
    <xf numFmtId="0" fontId="7" fillId="15" borderId="0" applyNumberFormat="0" applyBorder="0" applyAlignment="0" applyProtection="0">
      <alignment vertical="center"/>
    </xf>
    <xf numFmtId="0" fontId="8" fillId="29" borderId="0" applyNumberFormat="0" applyBorder="0" applyAlignment="0" applyProtection="0">
      <alignment vertical="center"/>
    </xf>
    <xf numFmtId="0" fontId="20" fillId="28" borderId="7" applyNumberFormat="0" applyAlignment="0" applyProtection="0">
      <alignment vertical="center"/>
    </xf>
    <xf numFmtId="0" fontId="7" fillId="26" borderId="0" applyNumberFormat="0" applyBorder="0" applyAlignment="0" applyProtection="0">
      <alignment vertical="center"/>
    </xf>
    <xf numFmtId="0" fontId="7" fillId="8" borderId="0" applyNumberFormat="0" applyBorder="0" applyAlignment="0" applyProtection="0">
      <alignment vertical="center"/>
    </xf>
    <xf numFmtId="44" fontId="0" fillId="0" borderId="0" applyFont="0" applyFill="0" applyBorder="0" applyAlignment="0" applyProtection="0">
      <alignment vertical="center"/>
    </xf>
    <xf numFmtId="0" fontId="8" fillId="24" borderId="0" applyNumberFormat="0" applyBorder="0" applyAlignment="0" applyProtection="0">
      <alignment vertical="center"/>
    </xf>
    <xf numFmtId="9" fontId="0" fillId="0" borderId="0" applyFont="0" applyFill="0" applyBorder="0" applyAlignment="0" applyProtection="0">
      <alignment vertical="center"/>
    </xf>
    <xf numFmtId="0" fontId="8" fillId="25" borderId="0" applyNumberFormat="0" applyBorder="0" applyAlignment="0" applyProtection="0">
      <alignment vertical="center"/>
    </xf>
    <xf numFmtId="0" fontId="8" fillId="21" borderId="0" applyNumberFormat="0" applyBorder="0" applyAlignment="0" applyProtection="0">
      <alignment vertical="center"/>
    </xf>
    <xf numFmtId="0" fontId="8" fillId="30" borderId="0" applyNumberFormat="0" applyBorder="0" applyAlignment="0" applyProtection="0">
      <alignment vertical="center"/>
    </xf>
    <xf numFmtId="0" fontId="8" fillId="20" borderId="0" applyNumberFormat="0" applyBorder="0" applyAlignment="0" applyProtection="0">
      <alignment vertical="center"/>
    </xf>
    <xf numFmtId="0" fontId="8" fillId="19" borderId="0" applyNumberFormat="0" applyBorder="0" applyAlignment="0" applyProtection="0">
      <alignment vertical="center"/>
    </xf>
    <xf numFmtId="0" fontId="19" fillId="13" borderId="7" applyNumberFormat="0" applyAlignment="0" applyProtection="0">
      <alignment vertical="center"/>
    </xf>
    <xf numFmtId="0" fontId="8" fillId="23" borderId="0" applyNumberFormat="0" applyBorder="0" applyAlignment="0" applyProtection="0">
      <alignment vertical="center"/>
    </xf>
    <xf numFmtId="0" fontId="4" fillId="3" borderId="0"/>
    <xf numFmtId="0" fontId="7" fillId="10" borderId="0" applyNumberFormat="0" applyBorder="0" applyAlignment="0" applyProtection="0">
      <alignment vertical="center"/>
    </xf>
    <xf numFmtId="0" fontId="2" fillId="2" borderId="0"/>
    <xf numFmtId="0" fontId="7" fillId="17" borderId="0" applyNumberFormat="0" applyBorder="0" applyAlignment="0" applyProtection="0">
      <alignment vertical="center"/>
    </xf>
    <xf numFmtId="0" fontId="16" fillId="0" borderId="4" applyNumberFormat="0" applyFill="0" applyAlignment="0" applyProtection="0">
      <alignment vertical="center"/>
    </xf>
    <xf numFmtId="0" fontId="6" fillId="4" borderId="0"/>
    <xf numFmtId="0" fontId="15" fillId="14" borderId="3" applyNumberFormat="0" applyAlignment="0" applyProtection="0">
      <alignment vertical="center"/>
    </xf>
    <xf numFmtId="0" fontId="14" fillId="13" borderId="2" applyNumberFormat="0" applyAlignment="0" applyProtection="0">
      <alignment vertical="center"/>
    </xf>
    <xf numFmtId="0" fontId="17" fillId="0" borderId="1" applyNumberFormat="0" applyFill="0" applyAlignment="0" applyProtection="0">
      <alignment vertical="center"/>
    </xf>
    <xf numFmtId="0" fontId="18" fillId="0" borderId="0" applyNumberFormat="0" applyFill="0" applyBorder="0" applyAlignment="0" applyProtection="0">
      <alignment vertical="center"/>
    </xf>
    <xf numFmtId="0" fontId="7" fillId="12" borderId="0" applyNumberFormat="0" applyBorder="0" applyAlignment="0" applyProtection="0">
      <alignment vertical="center"/>
    </xf>
    <xf numFmtId="0" fontId="13" fillId="0" borderId="0" applyNumberFormat="0" applyFill="0" applyBorder="0" applyAlignment="0" applyProtection="0">
      <alignment vertical="center"/>
    </xf>
    <xf numFmtId="42" fontId="0" fillId="0" borderId="0" applyFont="0" applyFill="0" applyBorder="0" applyAlignment="0" applyProtection="0">
      <alignment vertical="center"/>
    </xf>
    <xf numFmtId="0" fontId="7" fillId="11" borderId="0" applyNumberFormat="0" applyBorder="0" applyAlignment="0" applyProtection="0">
      <alignment vertical="center"/>
    </xf>
    <xf numFmtId="43"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7" fillId="27" borderId="0" applyNumberFormat="0" applyBorder="0" applyAlignment="0" applyProtection="0">
      <alignment vertical="center"/>
    </xf>
    <xf numFmtId="0" fontId="11" fillId="0" borderId="0" applyNumberFormat="0" applyFill="0" applyBorder="0" applyAlignment="0" applyProtection="0">
      <alignment vertical="center"/>
    </xf>
    <xf numFmtId="0" fontId="8" fillId="32" borderId="0" applyNumberFormat="0" applyBorder="0" applyAlignment="0" applyProtection="0">
      <alignment vertical="center"/>
    </xf>
    <xf numFmtId="0" fontId="0" fillId="16" borderId="5" applyNumberFormat="0" applyFont="0" applyAlignment="0" applyProtection="0">
      <alignment vertical="center"/>
    </xf>
    <xf numFmtId="0" fontId="7" fillId="9" borderId="0" applyNumberFormat="0" applyBorder="0" applyAlignment="0" applyProtection="0">
      <alignment vertical="center"/>
    </xf>
    <xf numFmtId="0" fontId="8" fillId="18" borderId="0" applyNumberFormat="0" applyBorder="0" applyAlignment="0" applyProtection="0">
      <alignment vertical="center"/>
    </xf>
    <xf numFmtId="0" fontId="7" fillId="22"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9" fillId="0" borderId="1" applyNumberFormat="0" applyFill="0" applyAlignment="0" applyProtection="0">
      <alignment vertical="center"/>
    </xf>
    <xf numFmtId="0" fontId="7" fillId="7" borderId="0" applyNumberFormat="0" applyBorder="0" applyAlignment="0" applyProtection="0">
      <alignment vertical="center"/>
    </xf>
    <xf numFmtId="0" fontId="13" fillId="0" borderId="6" applyNumberFormat="0" applyFill="0" applyAlignment="0" applyProtection="0">
      <alignment vertical="center"/>
    </xf>
    <xf numFmtId="0" fontId="8" fillId="6" borderId="0" applyNumberFormat="0" applyBorder="0" applyAlignment="0" applyProtection="0">
      <alignment vertical="center"/>
    </xf>
    <xf numFmtId="0" fontId="7" fillId="5" borderId="0" applyNumberFormat="0" applyBorder="0" applyAlignment="0" applyProtection="0">
      <alignment vertical="center"/>
    </xf>
    <xf numFmtId="0" fontId="21" fillId="0" borderId="8" applyNumberFormat="0" applyFill="0" applyAlignment="0" applyProtection="0">
      <alignment vertical="center"/>
    </xf>
  </cellStyleXfs>
  <cellXfs count="9">
    <xf numFmtId="0" fontId="0" fillId="0" borderId="0" xfId="0"/>
    <xf numFmtId="0" fontId="1" fillId="0" borderId="0" xfId="41"/>
    <xf numFmtId="0" fontId="2" fillId="2" borderId="0" xfId="19"/>
    <xf numFmtId="0" fontId="3" fillId="0" borderId="0" xfId="0" applyNumberFormat="1" applyFont="1" applyAlignment="1">
      <alignment vertical="center"/>
    </xf>
    <xf numFmtId="0" fontId="3" fillId="0" borderId="0" xfId="0" applyNumberFormat="1" applyFont="1"/>
    <xf numFmtId="0" fontId="4" fillId="3" borderId="0" xfId="17"/>
    <xf numFmtId="14" fontId="3" fillId="0" borderId="0" xfId="0" applyNumberFormat="1" applyFont="1"/>
    <xf numFmtId="0" fontId="5" fillId="3" borderId="0" xfId="17"/>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0"/>
  <sheetViews>
    <sheetView tabSelected="1" workbookViewId="0">
      <selection activeCell="K2" sqref="K2:Q30"/>
    </sheetView>
  </sheetViews>
  <sheetFormatPr defaultColWidth="9" defaultRowHeight="14.25"/>
  <cols>
    <col min="10" max="10" width="11"/>
    <col min="13" max="14" width="10.4666666666667" customWidth="1"/>
  </cols>
  <sheetData>
    <row r="1" spans="1:20">
      <c r="A1" s="2" t="s">
        <v>0</v>
      </c>
      <c r="B1" s="2" t="s">
        <v>1</v>
      </c>
      <c r="C1" s="2" t="s">
        <v>2</v>
      </c>
      <c r="D1" s="2" t="s">
        <v>3</v>
      </c>
      <c r="E1" s="2" t="s">
        <v>4</v>
      </c>
      <c r="F1" s="2" t="s">
        <v>5</v>
      </c>
      <c r="G1" s="2" t="s">
        <v>6</v>
      </c>
      <c r="H1" s="2" t="s">
        <v>7</v>
      </c>
      <c r="I1" s="2" t="s">
        <v>8</v>
      </c>
      <c r="J1" s="2" t="s">
        <v>9</v>
      </c>
      <c r="K1" s="5" t="s">
        <v>10</v>
      </c>
      <c r="L1" s="5" t="s">
        <v>11</v>
      </c>
      <c r="M1" s="5" t="s">
        <v>12</v>
      </c>
      <c r="N1" s="7" t="s">
        <v>13</v>
      </c>
      <c r="O1" s="7" t="s">
        <v>14</v>
      </c>
      <c r="P1" s="5" t="s">
        <v>15</v>
      </c>
      <c r="Q1" s="5" t="s">
        <v>16</v>
      </c>
      <c r="R1" s="5" t="s">
        <v>17</v>
      </c>
      <c r="S1" s="5"/>
      <c r="T1" s="8"/>
    </row>
    <row r="2" spans="1:20">
      <c r="A2" t="str">
        <f t="shared" ref="A2:A30" si="0">_xlfn.CONCAT("NodeRed-2-",TEXT(ROW()-1,"000000"))</f>
        <v>NodeRed-2-000001</v>
      </c>
      <c r="B2" t="s">
        <v>18</v>
      </c>
      <c r="C2" s="3" t="s">
        <v>19</v>
      </c>
      <c r="D2" s="3" t="s">
        <v>20</v>
      </c>
      <c r="E2" s="3" t="s">
        <v>21</v>
      </c>
      <c r="F2" s="4" t="s">
        <v>22</v>
      </c>
      <c r="G2" s="3" t="s">
        <v>23</v>
      </c>
      <c r="H2" t="s">
        <v>24</v>
      </c>
      <c r="I2" s="4" t="s">
        <v>25</v>
      </c>
      <c r="J2" s="6">
        <v>46014</v>
      </c>
      <c r="K2" t="s">
        <v>26</v>
      </c>
      <c r="L2" t="s">
        <v>18</v>
      </c>
      <c r="M2" s="3" t="s">
        <v>27</v>
      </c>
      <c r="N2" t="s">
        <v>28</v>
      </c>
      <c r="O2" t="s">
        <v>18</v>
      </c>
      <c r="P2" t="s">
        <v>29</v>
      </c>
      <c r="Q2" t="s">
        <v>30</v>
      </c>
      <c r="S2" t="s">
        <v>18</v>
      </c>
      <c r="T2" t="s">
        <v>18</v>
      </c>
    </row>
    <row r="3" spans="1:20">
      <c r="A3" t="str">
        <f t="shared" si="0"/>
        <v>NodeRed-2-000002</v>
      </c>
      <c r="B3" t="s">
        <v>18</v>
      </c>
      <c r="C3" s="3" t="s">
        <v>19</v>
      </c>
      <c r="D3" s="3" t="s">
        <v>20</v>
      </c>
      <c r="E3" s="3" t="s">
        <v>21</v>
      </c>
      <c r="F3" s="4" t="s">
        <v>22</v>
      </c>
      <c r="G3" s="3" t="s">
        <v>23</v>
      </c>
      <c r="H3" t="s">
        <v>31</v>
      </c>
      <c r="I3" s="4" t="s">
        <v>25</v>
      </c>
      <c r="J3" s="6">
        <v>46014</v>
      </c>
      <c r="K3" t="s">
        <v>32</v>
      </c>
      <c r="L3" t="s">
        <v>18</v>
      </c>
      <c r="M3" s="3" t="s">
        <v>27</v>
      </c>
      <c r="N3" t="s">
        <v>33</v>
      </c>
      <c r="O3" t="s">
        <v>18</v>
      </c>
      <c r="P3" t="s">
        <v>34</v>
      </c>
      <c r="Q3" t="s">
        <v>35</v>
      </c>
      <c r="S3" t="s">
        <v>18</v>
      </c>
      <c r="T3" t="s">
        <v>18</v>
      </c>
    </row>
    <row r="4" spans="1:20">
      <c r="A4" t="str">
        <f t="shared" si="0"/>
        <v>NodeRed-2-000003</v>
      </c>
      <c r="B4" t="s">
        <v>18</v>
      </c>
      <c r="C4" s="3" t="s">
        <v>19</v>
      </c>
      <c r="D4" s="3" t="s">
        <v>20</v>
      </c>
      <c r="E4" s="3" t="s">
        <v>21</v>
      </c>
      <c r="F4" s="4" t="s">
        <v>22</v>
      </c>
      <c r="G4" s="3" t="s">
        <v>23</v>
      </c>
      <c r="H4" t="s">
        <v>36</v>
      </c>
      <c r="I4" s="4" t="s">
        <v>25</v>
      </c>
      <c r="J4" s="6">
        <v>46014</v>
      </c>
      <c r="K4" t="s">
        <v>37</v>
      </c>
      <c r="L4" t="s">
        <v>18</v>
      </c>
      <c r="M4" s="3" t="s">
        <v>27</v>
      </c>
      <c r="N4" t="s">
        <v>38</v>
      </c>
      <c r="O4" t="s">
        <v>18</v>
      </c>
      <c r="P4" t="s">
        <v>39</v>
      </c>
      <c r="Q4" t="s">
        <v>40</v>
      </c>
      <c r="S4" t="s">
        <v>18</v>
      </c>
      <c r="T4" t="s">
        <v>18</v>
      </c>
    </row>
    <row r="5" spans="1:20">
      <c r="A5" t="str">
        <f t="shared" si="0"/>
        <v>NodeRed-2-000004</v>
      </c>
      <c r="B5" t="s">
        <v>18</v>
      </c>
      <c r="C5" s="3" t="s">
        <v>19</v>
      </c>
      <c r="D5" s="3" t="s">
        <v>20</v>
      </c>
      <c r="E5" s="3" t="s">
        <v>21</v>
      </c>
      <c r="F5" s="4" t="s">
        <v>22</v>
      </c>
      <c r="G5" s="3" t="s">
        <v>23</v>
      </c>
      <c r="H5" t="s">
        <v>31</v>
      </c>
      <c r="I5" s="4" t="s">
        <v>25</v>
      </c>
      <c r="J5" s="6">
        <v>46014</v>
      </c>
      <c r="K5" t="s">
        <v>41</v>
      </c>
      <c r="L5" t="s">
        <v>18</v>
      </c>
      <c r="M5" s="3" t="s">
        <v>27</v>
      </c>
      <c r="N5" t="s">
        <v>42</v>
      </c>
      <c r="O5" t="s">
        <v>18</v>
      </c>
      <c r="P5" t="s">
        <v>43</v>
      </c>
      <c r="Q5" t="s">
        <v>44</v>
      </c>
      <c r="S5" t="s">
        <v>18</v>
      </c>
      <c r="T5" t="s">
        <v>18</v>
      </c>
    </row>
    <row r="6" spans="1:20">
      <c r="A6" t="str">
        <f t="shared" si="0"/>
        <v>NodeRed-2-000005</v>
      </c>
      <c r="B6" t="s">
        <v>18</v>
      </c>
      <c r="C6" s="3" t="s">
        <v>19</v>
      </c>
      <c r="D6" s="3" t="s">
        <v>20</v>
      </c>
      <c r="E6" s="3" t="s">
        <v>21</v>
      </c>
      <c r="F6" s="4" t="s">
        <v>22</v>
      </c>
      <c r="G6" s="3" t="s">
        <v>23</v>
      </c>
      <c r="H6" t="s">
        <v>45</v>
      </c>
      <c r="I6" s="4" t="s">
        <v>25</v>
      </c>
      <c r="J6" s="6">
        <v>46014</v>
      </c>
      <c r="K6" t="s">
        <v>46</v>
      </c>
      <c r="L6" t="s">
        <v>18</v>
      </c>
      <c r="M6" s="3" t="s">
        <v>27</v>
      </c>
      <c r="N6" t="s">
        <v>47</v>
      </c>
      <c r="O6" t="s">
        <v>18</v>
      </c>
      <c r="P6" t="s">
        <v>48</v>
      </c>
      <c r="Q6" t="s">
        <v>49</v>
      </c>
      <c r="S6" t="s">
        <v>18</v>
      </c>
      <c r="T6" t="s">
        <v>18</v>
      </c>
    </row>
    <row r="7" spans="1:20">
      <c r="A7" t="str">
        <f t="shared" si="0"/>
        <v>NodeRed-2-000006</v>
      </c>
      <c r="B7" t="s">
        <v>18</v>
      </c>
      <c r="C7" s="3" t="s">
        <v>19</v>
      </c>
      <c r="D7" s="3" t="s">
        <v>20</v>
      </c>
      <c r="E7" s="3" t="s">
        <v>21</v>
      </c>
      <c r="F7" s="4" t="s">
        <v>22</v>
      </c>
      <c r="G7" s="3" t="s">
        <v>23</v>
      </c>
      <c r="H7" t="s">
        <v>31</v>
      </c>
      <c r="I7" s="4" t="s">
        <v>25</v>
      </c>
      <c r="J7" s="6">
        <v>46014</v>
      </c>
      <c r="K7" t="s">
        <v>50</v>
      </c>
      <c r="L7" t="s">
        <v>18</v>
      </c>
      <c r="M7" s="3" t="s">
        <v>27</v>
      </c>
      <c r="N7" t="s">
        <v>51</v>
      </c>
      <c r="O7" t="s">
        <v>18</v>
      </c>
      <c r="P7" t="s">
        <v>52</v>
      </c>
      <c r="Q7" t="s">
        <v>53</v>
      </c>
      <c r="S7" t="s">
        <v>18</v>
      </c>
      <c r="T7" t="s">
        <v>18</v>
      </c>
    </row>
    <row r="8" spans="1:20">
      <c r="A8" t="str">
        <f t="shared" si="0"/>
        <v>NodeRed-2-000007</v>
      </c>
      <c r="B8" t="s">
        <v>18</v>
      </c>
      <c r="C8" s="3" t="s">
        <v>19</v>
      </c>
      <c r="D8" s="3" t="s">
        <v>20</v>
      </c>
      <c r="E8" s="3" t="s">
        <v>21</v>
      </c>
      <c r="F8" s="4" t="s">
        <v>22</v>
      </c>
      <c r="G8" s="3" t="s">
        <v>23</v>
      </c>
      <c r="H8" t="s">
        <v>54</v>
      </c>
      <c r="I8" s="4" t="s">
        <v>25</v>
      </c>
      <c r="J8" s="6">
        <v>46014</v>
      </c>
      <c r="K8" t="s">
        <v>55</v>
      </c>
      <c r="L8" t="s">
        <v>18</v>
      </c>
      <c r="M8" s="3" t="s">
        <v>27</v>
      </c>
      <c r="N8" t="s">
        <v>56</v>
      </c>
      <c r="O8" t="s">
        <v>18</v>
      </c>
      <c r="P8" t="s">
        <v>57</v>
      </c>
      <c r="Q8" t="s">
        <v>58</v>
      </c>
      <c r="S8" t="s">
        <v>18</v>
      </c>
      <c r="T8" t="s">
        <v>18</v>
      </c>
    </row>
    <row r="9" spans="1:20">
      <c r="A9" t="str">
        <f t="shared" si="0"/>
        <v>NodeRed-2-000008</v>
      </c>
      <c r="B9" t="s">
        <v>18</v>
      </c>
      <c r="C9" s="3" t="s">
        <v>19</v>
      </c>
      <c r="D9" s="3" t="s">
        <v>20</v>
      </c>
      <c r="E9" s="3" t="s">
        <v>21</v>
      </c>
      <c r="F9" s="4" t="s">
        <v>22</v>
      </c>
      <c r="G9" s="3" t="s">
        <v>23</v>
      </c>
      <c r="H9" t="s">
        <v>59</v>
      </c>
      <c r="I9" s="4" t="s">
        <v>25</v>
      </c>
      <c r="J9" s="6">
        <v>46014</v>
      </c>
      <c r="K9" t="s">
        <v>60</v>
      </c>
      <c r="L9" t="s">
        <v>18</v>
      </c>
      <c r="M9" s="3" t="s">
        <v>27</v>
      </c>
      <c r="N9" t="s">
        <v>61</v>
      </c>
      <c r="O9" t="s">
        <v>18</v>
      </c>
      <c r="P9" t="s">
        <v>62</v>
      </c>
      <c r="Q9" t="s">
        <v>63</v>
      </c>
      <c r="S9" t="s">
        <v>18</v>
      </c>
      <c r="T9" t="s">
        <v>18</v>
      </c>
    </row>
    <row r="10" spans="1:20">
      <c r="A10" t="str">
        <f t="shared" si="0"/>
        <v>NodeRed-2-000009</v>
      </c>
      <c r="B10" t="s">
        <v>18</v>
      </c>
      <c r="C10" s="3" t="s">
        <v>19</v>
      </c>
      <c r="D10" s="3" t="s">
        <v>20</v>
      </c>
      <c r="E10" s="3" t="s">
        <v>21</v>
      </c>
      <c r="F10" s="4" t="s">
        <v>22</v>
      </c>
      <c r="G10" s="3" t="s">
        <v>23</v>
      </c>
      <c r="H10" t="s">
        <v>36</v>
      </c>
      <c r="I10" s="4" t="s">
        <v>25</v>
      </c>
      <c r="J10" s="6">
        <v>46014</v>
      </c>
      <c r="K10" t="s">
        <v>64</v>
      </c>
      <c r="L10" t="s">
        <v>18</v>
      </c>
      <c r="M10" s="3" t="s">
        <v>27</v>
      </c>
      <c r="N10" t="s">
        <v>65</v>
      </c>
      <c r="O10" t="s">
        <v>18</v>
      </c>
      <c r="P10" t="s">
        <v>66</v>
      </c>
      <c r="Q10" t="s">
        <v>67</v>
      </c>
      <c r="S10" t="s">
        <v>18</v>
      </c>
      <c r="T10" t="s">
        <v>18</v>
      </c>
    </row>
    <row r="11" spans="1:20">
      <c r="A11" t="str">
        <f t="shared" si="0"/>
        <v>NodeRed-2-000010</v>
      </c>
      <c r="B11" t="s">
        <v>18</v>
      </c>
      <c r="C11" s="3" t="s">
        <v>19</v>
      </c>
      <c r="D11" s="3" t="s">
        <v>20</v>
      </c>
      <c r="E11" s="3" t="s">
        <v>21</v>
      </c>
      <c r="F11" s="4" t="s">
        <v>22</v>
      </c>
      <c r="G11" s="3" t="s">
        <v>23</v>
      </c>
      <c r="H11" t="s">
        <v>68</v>
      </c>
      <c r="I11" s="4" t="s">
        <v>25</v>
      </c>
      <c r="J11" s="6">
        <v>46014</v>
      </c>
      <c r="K11" t="s">
        <v>69</v>
      </c>
      <c r="L11" t="s">
        <v>18</v>
      </c>
      <c r="M11" s="3" t="s">
        <v>27</v>
      </c>
      <c r="N11" t="s">
        <v>70</v>
      </c>
      <c r="O11" t="s">
        <v>18</v>
      </c>
      <c r="P11" t="s">
        <v>71</v>
      </c>
      <c r="Q11" t="s">
        <v>72</v>
      </c>
      <c r="S11" t="s">
        <v>18</v>
      </c>
      <c r="T11" t="s">
        <v>18</v>
      </c>
    </row>
    <row r="12" spans="1:20">
      <c r="A12" t="str">
        <f t="shared" si="0"/>
        <v>NodeRed-2-000011</v>
      </c>
      <c r="B12" t="s">
        <v>18</v>
      </c>
      <c r="C12" s="3" t="s">
        <v>19</v>
      </c>
      <c r="D12" s="3" t="s">
        <v>20</v>
      </c>
      <c r="E12" s="3" t="s">
        <v>21</v>
      </c>
      <c r="F12" s="4" t="s">
        <v>22</v>
      </c>
      <c r="G12" s="3" t="s">
        <v>23</v>
      </c>
      <c r="H12" t="s">
        <v>59</v>
      </c>
      <c r="I12" s="4" t="s">
        <v>25</v>
      </c>
      <c r="J12" s="6">
        <v>46014</v>
      </c>
      <c r="K12" t="s">
        <v>73</v>
      </c>
      <c r="L12" t="s">
        <v>18</v>
      </c>
      <c r="M12" s="3" t="s">
        <v>27</v>
      </c>
      <c r="N12" t="s">
        <v>74</v>
      </c>
      <c r="O12" t="s">
        <v>18</v>
      </c>
      <c r="P12" t="s">
        <v>62</v>
      </c>
      <c r="Q12" t="s">
        <v>75</v>
      </c>
      <c r="S12" t="s">
        <v>18</v>
      </c>
      <c r="T12" t="s">
        <v>18</v>
      </c>
    </row>
    <row r="13" spans="1:20">
      <c r="A13" t="str">
        <f t="shared" si="0"/>
        <v>NodeRed-2-000012</v>
      </c>
      <c r="B13" t="s">
        <v>18</v>
      </c>
      <c r="C13" s="3" t="s">
        <v>19</v>
      </c>
      <c r="D13" s="3" t="s">
        <v>20</v>
      </c>
      <c r="E13" s="3" t="s">
        <v>21</v>
      </c>
      <c r="F13" s="4" t="s">
        <v>22</v>
      </c>
      <c r="G13" s="3" t="s">
        <v>23</v>
      </c>
      <c r="H13" t="s">
        <v>76</v>
      </c>
      <c r="I13" s="4" t="s">
        <v>25</v>
      </c>
      <c r="J13" s="6">
        <v>46014</v>
      </c>
      <c r="K13" t="s">
        <v>77</v>
      </c>
      <c r="L13" t="s">
        <v>18</v>
      </c>
      <c r="M13" s="3" t="s">
        <v>27</v>
      </c>
      <c r="N13" t="s">
        <v>78</v>
      </c>
      <c r="O13" t="s">
        <v>18</v>
      </c>
      <c r="P13" t="s">
        <v>79</v>
      </c>
      <c r="Q13" t="s">
        <v>80</v>
      </c>
      <c r="S13" t="s">
        <v>18</v>
      </c>
      <c r="T13" t="s">
        <v>18</v>
      </c>
    </row>
    <row r="14" spans="1:20">
      <c r="A14" t="str">
        <f t="shared" si="0"/>
        <v>NodeRed-2-000013</v>
      </c>
      <c r="B14" t="s">
        <v>18</v>
      </c>
      <c r="C14" s="3" t="s">
        <v>19</v>
      </c>
      <c r="D14" s="3" t="s">
        <v>20</v>
      </c>
      <c r="E14" s="3" t="s">
        <v>21</v>
      </c>
      <c r="F14" s="4" t="s">
        <v>22</v>
      </c>
      <c r="G14" s="3" t="s">
        <v>23</v>
      </c>
      <c r="H14" t="s">
        <v>81</v>
      </c>
      <c r="I14" s="4" t="s">
        <v>25</v>
      </c>
      <c r="J14" s="6">
        <v>46014</v>
      </c>
      <c r="K14" t="s">
        <v>82</v>
      </c>
      <c r="L14" t="s">
        <v>18</v>
      </c>
      <c r="M14" s="3" t="s">
        <v>27</v>
      </c>
      <c r="N14" t="s">
        <v>83</v>
      </c>
      <c r="O14" t="s">
        <v>18</v>
      </c>
      <c r="P14" t="s">
        <v>84</v>
      </c>
      <c r="Q14" t="s">
        <v>85</v>
      </c>
      <c r="S14" t="s">
        <v>18</v>
      </c>
      <c r="T14" t="s">
        <v>18</v>
      </c>
    </row>
    <row r="15" spans="1:20">
      <c r="A15" t="str">
        <f t="shared" si="0"/>
        <v>NodeRed-2-000014</v>
      </c>
      <c r="B15" t="s">
        <v>18</v>
      </c>
      <c r="C15" s="3" t="s">
        <v>19</v>
      </c>
      <c r="D15" s="3" t="s">
        <v>20</v>
      </c>
      <c r="E15" s="3" t="s">
        <v>21</v>
      </c>
      <c r="F15" s="4" t="s">
        <v>22</v>
      </c>
      <c r="G15" s="3" t="s">
        <v>23</v>
      </c>
      <c r="H15" t="s">
        <v>86</v>
      </c>
      <c r="I15" s="4" t="s">
        <v>25</v>
      </c>
      <c r="J15" s="6">
        <v>46014</v>
      </c>
      <c r="K15" t="s">
        <v>87</v>
      </c>
      <c r="L15" t="s">
        <v>18</v>
      </c>
      <c r="M15" s="3" t="s">
        <v>27</v>
      </c>
      <c r="N15" t="s">
        <v>88</v>
      </c>
      <c r="O15" t="s">
        <v>18</v>
      </c>
      <c r="P15" t="s">
        <v>89</v>
      </c>
      <c r="Q15" t="s">
        <v>90</v>
      </c>
      <c r="S15" t="s">
        <v>18</v>
      </c>
      <c r="T15" t="s">
        <v>18</v>
      </c>
    </row>
    <row r="16" spans="1:20">
      <c r="A16" t="str">
        <f t="shared" si="0"/>
        <v>NodeRed-2-000015</v>
      </c>
      <c r="B16" t="s">
        <v>18</v>
      </c>
      <c r="C16" s="3" t="s">
        <v>19</v>
      </c>
      <c r="D16" s="3" t="s">
        <v>20</v>
      </c>
      <c r="E16" s="3" t="s">
        <v>21</v>
      </c>
      <c r="F16" s="4" t="s">
        <v>22</v>
      </c>
      <c r="G16" s="3" t="s">
        <v>23</v>
      </c>
      <c r="H16" t="s">
        <v>91</v>
      </c>
      <c r="I16" s="4" t="s">
        <v>25</v>
      </c>
      <c r="J16" s="6">
        <v>46014</v>
      </c>
      <c r="K16" t="s">
        <v>92</v>
      </c>
      <c r="L16" t="s">
        <v>18</v>
      </c>
      <c r="M16" s="3" t="s">
        <v>27</v>
      </c>
      <c r="N16" t="s">
        <v>93</v>
      </c>
      <c r="O16" t="s">
        <v>18</v>
      </c>
      <c r="P16" t="s">
        <v>94</v>
      </c>
      <c r="Q16" t="s">
        <v>95</v>
      </c>
      <c r="S16" t="s">
        <v>18</v>
      </c>
      <c r="T16" t="s">
        <v>18</v>
      </c>
    </row>
    <row r="17" spans="1:20">
      <c r="A17" t="str">
        <f t="shared" si="0"/>
        <v>NodeRed-2-000016</v>
      </c>
      <c r="B17" t="s">
        <v>18</v>
      </c>
      <c r="C17" s="3" t="s">
        <v>19</v>
      </c>
      <c r="D17" s="3" t="s">
        <v>20</v>
      </c>
      <c r="E17" s="3" t="s">
        <v>21</v>
      </c>
      <c r="F17" s="4" t="s">
        <v>22</v>
      </c>
      <c r="G17" s="3" t="s">
        <v>23</v>
      </c>
      <c r="H17" t="s">
        <v>96</v>
      </c>
      <c r="I17" s="4" t="s">
        <v>25</v>
      </c>
      <c r="J17" s="6">
        <v>46014</v>
      </c>
      <c r="K17" t="s">
        <v>97</v>
      </c>
      <c r="L17" t="s">
        <v>18</v>
      </c>
      <c r="M17" s="3" t="s">
        <v>27</v>
      </c>
      <c r="N17" t="s">
        <v>98</v>
      </c>
      <c r="O17" t="s">
        <v>18</v>
      </c>
      <c r="P17" t="s">
        <v>99</v>
      </c>
      <c r="Q17" t="s">
        <v>100</v>
      </c>
      <c r="S17" t="s">
        <v>18</v>
      </c>
      <c r="T17" t="s">
        <v>18</v>
      </c>
    </row>
    <row r="18" spans="1:20">
      <c r="A18" t="str">
        <f t="shared" si="0"/>
        <v>NodeRed-2-000017</v>
      </c>
      <c r="B18" t="s">
        <v>18</v>
      </c>
      <c r="C18" s="3" t="s">
        <v>19</v>
      </c>
      <c r="D18" s="3" t="s">
        <v>20</v>
      </c>
      <c r="E18" s="3" t="s">
        <v>21</v>
      </c>
      <c r="F18" s="4" t="s">
        <v>22</v>
      </c>
      <c r="G18" s="3" t="s">
        <v>23</v>
      </c>
      <c r="H18" t="s">
        <v>54</v>
      </c>
      <c r="I18" s="4" t="s">
        <v>25</v>
      </c>
      <c r="J18" s="6">
        <v>46014</v>
      </c>
      <c r="K18" t="s">
        <v>101</v>
      </c>
      <c r="L18" t="s">
        <v>18</v>
      </c>
      <c r="M18" s="3" t="s">
        <v>27</v>
      </c>
      <c r="N18" t="s">
        <v>102</v>
      </c>
      <c r="O18" t="s">
        <v>18</v>
      </c>
      <c r="P18" t="s">
        <v>103</v>
      </c>
      <c r="Q18" t="s">
        <v>104</v>
      </c>
      <c r="S18" t="s">
        <v>18</v>
      </c>
      <c r="T18" t="s">
        <v>18</v>
      </c>
    </row>
    <row r="19" spans="1:20">
      <c r="A19" t="str">
        <f t="shared" si="0"/>
        <v>NodeRed-2-000018</v>
      </c>
      <c r="B19" t="s">
        <v>18</v>
      </c>
      <c r="C19" s="3" t="s">
        <v>19</v>
      </c>
      <c r="D19" s="3" t="s">
        <v>20</v>
      </c>
      <c r="E19" s="3" t="s">
        <v>21</v>
      </c>
      <c r="F19" s="4" t="s">
        <v>22</v>
      </c>
      <c r="G19" s="3" t="s">
        <v>23</v>
      </c>
      <c r="H19" t="s">
        <v>105</v>
      </c>
      <c r="I19" s="4" t="s">
        <v>25</v>
      </c>
      <c r="J19" s="6">
        <v>46014</v>
      </c>
      <c r="K19" t="s">
        <v>106</v>
      </c>
      <c r="L19" t="s">
        <v>18</v>
      </c>
      <c r="M19" s="3" t="s">
        <v>27</v>
      </c>
      <c r="N19" t="s">
        <v>107</v>
      </c>
      <c r="O19" t="s">
        <v>18</v>
      </c>
      <c r="P19" t="s">
        <v>108</v>
      </c>
      <c r="Q19" t="s">
        <v>109</v>
      </c>
      <c r="S19" t="s">
        <v>18</v>
      </c>
      <c r="T19" t="s">
        <v>18</v>
      </c>
    </row>
    <row r="20" spans="1:20">
      <c r="A20" t="str">
        <f t="shared" si="0"/>
        <v>NodeRed-2-000019</v>
      </c>
      <c r="B20" t="s">
        <v>18</v>
      </c>
      <c r="C20" s="3" t="s">
        <v>19</v>
      </c>
      <c r="D20" s="3" t="s">
        <v>20</v>
      </c>
      <c r="E20" s="3" t="s">
        <v>21</v>
      </c>
      <c r="F20" s="4" t="s">
        <v>22</v>
      </c>
      <c r="G20" s="3" t="s">
        <v>23</v>
      </c>
      <c r="H20" t="s">
        <v>110</v>
      </c>
      <c r="I20" s="4" t="s">
        <v>25</v>
      </c>
      <c r="J20" s="6">
        <v>46014</v>
      </c>
      <c r="K20" t="s">
        <v>111</v>
      </c>
      <c r="L20" t="s">
        <v>18</v>
      </c>
      <c r="M20" s="3" t="s">
        <v>27</v>
      </c>
      <c r="N20" t="s">
        <v>112</v>
      </c>
      <c r="O20" t="s">
        <v>18</v>
      </c>
      <c r="P20" t="s">
        <v>62</v>
      </c>
      <c r="Q20" t="s">
        <v>113</v>
      </c>
      <c r="S20" t="s">
        <v>18</v>
      </c>
      <c r="T20" t="s">
        <v>18</v>
      </c>
    </row>
    <row r="21" spans="1:20">
      <c r="A21" t="str">
        <f t="shared" si="0"/>
        <v>NodeRed-2-000020</v>
      </c>
      <c r="B21" t="s">
        <v>18</v>
      </c>
      <c r="C21" s="3" t="s">
        <v>19</v>
      </c>
      <c r="D21" s="3" t="s">
        <v>20</v>
      </c>
      <c r="E21" s="3" t="s">
        <v>21</v>
      </c>
      <c r="F21" s="4" t="s">
        <v>22</v>
      </c>
      <c r="G21" s="3" t="s">
        <v>23</v>
      </c>
      <c r="H21" t="s">
        <v>114</v>
      </c>
      <c r="I21" s="4" t="s">
        <v>25</v>
      </c>
      <c r="J21" s="6">
        <v>46014</v>
      </c>
      <c r="K21" t="s">
        <v>115</v>
      </c>
      <c r="L21" t="s">
        <v>18</v>
      </c>
      <c r="M21" s="3" t="s">
        <v>27</v>
      </c>
      <c r="N21" t="s">
        <v>116</v>
      </c>
      <c r="O21" t="s">
        <v>18</v>
      </c>
      <c r="P21" t="s">
        <v>62</v>
      </c>
      <c r="Q21" t="s">
        <v>117</v>
      </c>
      <c r="S21" t="s">
        <v>18</v>
      </c>
      <c r="T21" t="s">
        <v>18</v>
      </c>
    </row>
    <row r="22" spans="1:20">
      <c r="A22" t="str">
        <f t="shared" si="0"/>
        <v>NodeRed-2-000021</v>
      </c>
      <c r="B22" t="s">
        <v>18</v>
      </c>
      <c r="C22" s="3" t="s">
        <v>19</v>
      </c>
      <c r="D22" s="3" t="s">
        <v>20</v>
      </c>
      <c r="E22" s="3" t="s">
        <v>21</v>
      </c>
      <c r="F22" s="4" t="s">
        <v>22</v>
      </c>
      <c r="G22" s="3" t="s">
        <v>23</v>
      </c>
      <c r="H22" t="s">
        <v>118</v>
      </c>
      <c r="I22" s="4" t="s">
        <v>25</v>
      </c>
      <c r="J22" s="6">
        <v>46014</v>
      </c>
      <c r="K22" t="s">
        <v>119</v>
      </c>
      <c r="L22" t="s">
        <v>18</v>
      </c>
      <c r="M22" s="3" t="s">
        <v>27</v>
      </c>
      <c r="N22" t="s">
        <v>120</v>
      </c>
      <c r="O22" t="s">
        <v>18</v>
      </c>
      <c r="P22" t="s">
        <v>121</v>
      </c>
      <c r="Q22" t="s">
        <v>122</v>
      </c>
      <c r="S22" t="s">
        <v>18</v>
      </c>
      <c r="T22" t="s">
        <v>18</v>
      </c>
    </row>
    <row r="23" spans="1:20">
      <c r="A23" t="str">
        <f t="shared" si="0"/>
        <v>NodeRed-2-000022</v>
      </c>
      <c r="B23" t="s">
        <v>18</v>
      </c>
      <c r="C23" s="3" t="s">
        <v>19</v>
      </c>
      <c r="D23" s="3" t="s">
        <v>20</v>
      </c>
      <c r="E23" s="3" t="s">
        <v>21</v>
      </c>
      <c r="F23" s="4" t="s">
        <v>22</v>
      </c>
      <c r="G23" s="3" t="s">
        <v>23</v>
      </c>
      <c r="H23" t="s">
        <v>123</v>
      </c>
      <c r="I23" s="4" t="s">
        <v>25</v>
      </c>
      <c r="J23" s="6">
        <v>46014</v>
      </c>
      <c r="K23" t="s">
        <v>124</v>
      </c>
      <c r="L23" t="s">
        <v>18</v>
      </c>
      <c r="M23" s="3" t="s">
        <v>27</v>
      </c>
      <c r="N23" t="s">
        <v>125</v>
      </c>
      <c r="O23" t="s">
        <v>18</v>
      </c>
      <c r="P23" t="s">
        <v>126</v>
      </c>
      <c r="Q23" t="s">
        <v>127</v>
      </c>
      <c r="S23" t="s">
        <v>18</v>
      </c>
      <c r="T23" t="s">
        <v>18</v>
      </c>
    </row>
    <row r="24" spans="1:20">
      <c r="A24" t="str">
        <f t="shared" si="0"/>
        <v>NodeRed-2-000023</v>
      </c>
      <c r="B24" t="s">
        <v>18</v>
      </c>
      <c r="C24" s="3" t="s">
        <v>19</v>
      </c>
      <c r="D24" s="3" t="s">
        <v>20</v>
      </c>
      <c r="E24" s="3" t="s">
        <v>21</v>
      </c>
      <c r="F24" s="4" t="s">
        <v>22</v>
      </c>
      <c r="G24" s="3" t="s">
        <v>23</v>
      </c>
      <c r="H24" t="s">
        <v>114</v>
      </c>
      <c r="I24" s="4" t="s">
        <v>25</v>
      </c>
      <c r="J24" s="6">
        <v>46014</v>
      </c>
      <c r="K24" t="s">
        <v>128</v>
      </c>
      <c r="L24" t="s">
        <v>18</v>
      </c>
      <c r="M24" s="3" t="s">
        <v>27</v>
      </c>
      <c r="N24" t="s">
        <v>129</v>
      </c>
      <c r="O24" t="s">
        <v>18</v>
      </c>
      <c r="P24" t="s">
        <v>62</v>
      </c>
      <c r="Q24" t="s">
        <v>130</v>
      </c>
      <c r="S24" t="s">
        <v>18</v>
      </c>
      <c r="T24" t="s">
        <v>18</v>
      </c>
    </row>
    <row r="25" spans="1:20">
      <c r="A25" t="str">
        <f t="shared" si="0"/>
        <v>NodeRed-2-000024</v>
      </c>
      <c r="B25" t="s">
        <v>18</v>
      </c>
      <c r="C25" s="3" t="s">
        <v>19</v>
      </c>
      <c r="D25" s="3" t="s">
        <v>20</v>
      </c>
      <c r="E25" s="3" t="s">
        <v>21</v>
      </c>
      <c r="F25" s="4" t="s">
        <v>22</v>
      </c>
      <c r="G25" s="3" t="s">
        <v>23</v>
      </c>
      <c r="H25" t="s">
        <v>131</v>
      </c>
      <c r="I25" s="4" t="s">
        <v>25</v>
      </c>
      <c r="J25" s="6">
        <v>46014</v>
      </c>
      <c r="K25" t="s">
        <v>132</v>
      </c>
      <c r="L25" t="s">
        <v>18</v>
      </c>
      <c r="M25" s="3" t="s">
        <v>27</v>
      </c>
      <c r="N25" t="s">
        <v>133</v>
      </c>
      <c r="O25" t="s">
        <v>18</v>
      </c>
      <c r="P25" t="s">
        <v>134</v>
      </c>
      <c r="Q25" t="s">
        <v>135</v>
      </c>
      <c r="S25" t="s">
        <v>18</v>
      </c>
      <c r="T25" t="s">
        <v>18</v>
      </c>
    </row>
    <row r="26" spans="1:20">
      <c r="A26" t="str">
        <f t="shared" si="0"/>
        <v>NodeRed-2-000025</v>
      </c>
      <c r="B26" t="s">
        <v>18</v>
      </c>
      <c r="C26" s="3" t="s">
        <v>19</v>
      </c>
      <c r="D26" s="3" t="s">
        <v>20</v>
      </c>
      <c r="E26" s="3" t="s">
        <v>21</v>
      </c>
      <c r="F26" s="4" t="s">
        <v>22</v>
      </c>
      <c r="G26" s="3" t="s">
        <v>23</v>
      </c>
      <c r="H26" t="s">
        <v>136</v>
      </c>
      <c r="I26" s="4" t="s">
        <v>25</v>
      </c>
      <c r="J26" s="6">
        <v>46014</v>
      </c>
      <c r="K26" t="s">
        <v>137</v>
      </c>
      <c r="L26" t="s">
        <v>18</v>
      </c>
      <c r="M26" s="3" t="s">
        <v>27</v>
      </c>
      <c r="N26" t="s">
        <v>138</v>
      </c>
      <c r="O26" t="s">
        <v>18</v>
      </c>
      <c r="P26" t="s">
        <v>139</v>
      </c>
      <c r="Q26" t="s">
        <v>140</v>
      </c>
      <c r="S26" t="s">
        <v>18</v>
      </c>
      <c r="T26" t="s">
        <v>18</v>
      </c>
    </row>
    <row r="27" spans="1:20">
      <c r="A27" t="str">
        <f t="shared" si="0"/>
        <v>NodeRed-2-000026</v>
      </c>
      <c r="B27" t="s">
        <v>18</v>
      </c>
      <c r="C27" s="3" t="s">
        <v>19</v>
      </c>
      <c r="D27" s="3" t="s">
        <v>20</v>
      </c>
      <c r="E27" s="3" t="s">
        <v>21</v>
      </c>
      <c r="F27" s="4" t="s">
        <v>22</v>
      </c>
      <c r="G27" s="3" t="s">
        <v>23</v>
      </c>
      <c r="H27" t="s">
        <v>68</v>
      </c>
      <c r="I27" s="4" t="s">
        <v>25</v>
      </c>
      <c r="J27" s="6">
        <v>46014</v>
      </c>
      <c r="K27" t="s">
        <v>141</v>
      </c>
      <c r="L27" t="s">
        <v>18</v>
      </c>
      <c r="M27" s="3" t="s">
        <v>27</v>
      </c>
      <c r="N27" t="s">
        <v>142</v>
      </c>
      <c r="O27" t="s">
        <v>18</v>
      </c>
      <c r="P27" t="s">
        <v>143</v>
      </c>
      <c r="Q27" t="s">
        <v>144</v>
      </c>
      <c r="S27" t="s">
        <v>18</v>
      </c>
      <c r="T27" t="s">
        <v>18</v>
      </c>
    </row>
    <row r="28" spans="1:20">
      <c r="A28" t="str">
        <f t="shared" si="0"/>
        <v>NodeRed-2-000027</v>
      </c>
      <c r="B28" t="s">
        <v>18</v>
      </c>
      <c r="C28" s="3" t="s">
        <v>19</v>
      </c>
      <c r="D28" s="3" t="s">
        <v>20</v>
      </c>
      <c r="E28" s="3" t="s">
        <v>21</v>
      </c>
      <c r="F28" s="4" t="s">
        <v>22</v>
      </c>
      <c r="G28" s="3" t="s">
        <v>23</v>
      </c>
      <c r="H28" t="s">
        <v>145</v>
      </c>
      <c r="I28" s="4" t="s">
        <v>25</v>
      </c>
      <c r="J28" s="6">
        <v>46014</v>
      </c>
      <c r="K28" t="s">
        <v>146</v>
      </c>
      <c r="L28" t="s">
        <v>18</v>
      </c>
      <c r="M28" s="3" t="s">
        <v>27</v>
      </c>
      <c r="N28" t="s">
        <v>147</v>
      </c>
      <c r="O28" t="s">
        <v>18</v>
      </c>
      <c r="P28" t="s">
        <v>148</v>
      </c>
      <c r="Q28" t="s">
        <v>149</v>
      </c>
      <c r="S28" t="s">
        <v>18</v>
      </c>
      <c r="T28" t="s">
        <v>18</v>
      </c>
    </row>
    <row r="29" spans="1:20">
      <c r="A29" t="str">
        <f t="shared" si="0"/>
        <v>NodeRed-2-000028</v>
      </c>
      <c r="B29" t="s">
        <v>18</v>
      </c>
      <c r="C29" s="3" t="s">
        <v>19</v>
      </c>
      <c r="D29" s="3" t="s">
        <v>20</v>
      </c>
      <c r="E29" s="3" t="s">
        <v>21</v>
      </c>
      <c r="F29" s="4" t="s">
        <v>22</v>
      </c>
      <c r="G29" s="3" t="s">
        <v>23</v>
      </c>
      <c r="H29" t="s">
        <v>150</v>
      </c>
      <c r="I29" s="4" t="s">
        <v>25</v>
      </c>
      <c r="J29" s="6">
        <v>46014</v>
      </c>
      <c r="K29" t="s">
        <v>151</v>
      </c>
      <c r="L29" t="s">
        <v>18</v>
      </c>
      <c r="M29" s="3" t="s">
        <v>27</v>
      </c>
      <c r="N29" t="s">
        <v>152</v>
      </c>
      <c r="O29" t="s">
        <v>18</v>
      </c>
      <c r="P29" t="s">
        <v>153</v>
      </c>
      <c r="Q29" t="s">
        <v>154</v>
      </c>
      <c r="S29" t="s">
        <v>18</v>
      </c>
      <c r="T29" t="s">
        <v>18</v>
      </c>
    </row>
    <row r="30" spans="1:20">
      <c r="A30" t="str">
        <f t="shared" si="0"/>
        <v>NodeRed-2-000029</v>
      </c>
      <c r="B30" t="s">
        <v>18</v>
      </c>
      <c r="C30" s="3" t="s">
        <v>19</v>
      </c>
      <c r="D30" s="3" t="s">
        <v>20</v>
      </c>
      <c r="E30" s="3" t="s">
        <v>21</v>
      </c>
      <c r="F30" s="4" t="s">
        <v>22</v>
      </c>
      <c r="G30" s="3" t="s">
        <v>23</v>
      </c>
      <c r="H30" t="s">
        <v>155</v>
      </c>
      <c r="I30" s="4" t="s">
        <v>25</v>
      </c>
      <c r="J30" s="6">
        <v>46014</v>
      </c>
      <c r="K30" t="s">
        <v>156</v>
      </c>
      <c r="L30" t="s">
        <v>18</v>
      </c>
      <c r="M30" s="3" t="s">
        <v>27</v>
      </c>
      <c r="N30" t="s">
        <v>157</v>
      </c>
      <c r="O30" t="s">
        <v>18</v>
      </c>
      <c r="P30" t="s">
        <v>158</v>
      </c>
      <c r="Q30" t="s">
        <v>159</v>
      </c>
      <c r="S30" t="s">
        <v>18</v>
      </c>
      <c r="T30"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160</v>
      </c>
      <c r="B1" t="s">
        <v>161</v>
      </c>
      <c r="C1" t="s">
        <v>162</v>
      </c>
      <c r="D1" t="s">
        <v>163</v>
      </c>
      <c r="E1" t="s">
        <v>164</v>
      </c>
      <c r="F1" t="s">
        <v>165</v>
      </c>
      <c r="G1" t="s">
        <v>166</v>
      </c>
      <c r="H1" t="s">
        <v>167</v>
      </c>
      <c r="I1" t="s">
        <v>168</v>
      </c>
      <c r="J1" t="s">
        <v>169</v>
      </c>
      <c r="K1" t="s">
        <v>170</v>
      </c>
      <c r="L1" t="s">
        <v>171</v>
      </c>
    </row>
    <row r="2" spans="1:12">
      <c r="A2" t="s">
        <v>172</v>
      </c>
      <c r="B2" t="s">
        <v>173</v>
      </c>
      <c r="C2" t="s">
        <v>174</v>
      </c>
      <c r="D2" t="s">
        <v>175</v>
      </c>
      <c r="E2" t="s">
        <v>176</v>
      </c>
      <c r="F2" t="s">
        <v>177</v>
      </c>
      <c r="G2" t="s">
        <v>178</v>
      </c>
      <c r="H2" t="s">
        <v>179</v>
      </c>
      <c r="I2" t="s">
        <v>180</v>
      </c>
      <c r="J2" t="s">
        <v>181</v>
      </c>
      <c r="K2" t="s">
        <v>177</v>
      </c>
      <c r="L2" t="s">
        <v>182</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2015-06-06T18:19:00Z</dcterms:created>
  <dcterms:modified xsi:type="dcterms:W3CDTF">2026-01-23T17:56:00Z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