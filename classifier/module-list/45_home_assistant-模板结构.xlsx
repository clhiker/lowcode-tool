
<file path=[Content_Types].xml><?xml version="1.0" encoding="utf-8"?>
<Types xmlns="http://schemas.openxmlformats.org/package/2006/content-types">
  <Default Extension="xml" ContentType="application/xml"/>
  <Default Extension="rels" ContentType="application/vnd.openxmlformats-package.relationships+xml"/>
  <Override PartName="/customXml/itemProps1.xml" ContentType="application/vnd.openxmlformats-officedocument.customXmlProperties+xml"/>
  <Override PartName="/customXml/itemProps2.xml" ContentType="application/vnd.openxmlformats-officedocument.customXmlProperties+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fileVersion appName="xl" lastEdited="3" lowestEdited="5" rupBuild="9302"/>
  <workbookPr/>
  <bookViews>
    <workbookView windowWidth="21795" windowHeight="12975"/>
  </bookViews>
  <sheets>
    <sheet name="汇总表" sheetId="1" r:id="rId1"/>
    <sheet name="全文字" sheetId="2" r:id="rId2"/>
  </sheets>
  <calcPr calcId="144525"/>
</workbook>
</file>

<file path=xl/sharedStrings.xml><?xml version="1.0" encoding="utf-8"?>
<sst xmlns="http://schemas.openxmlformats.org/spreadsheetml/2006/main" count="4598" uniqueCount="1249">
  <si>
    <t>模板id</t>
  </si>
  <si>
    <t>模板名</t>
  </si>
  <si>
    <t>标签1. 语言和框架</t>
  </si>
  <si>
    <t>标签2. 文件后缀</t>
  </si>
  <si>
    <t>标签3. 用户库或Schema</t>
  </si>
  <si>
    <t>标签4. 原生模板/子模板/组合模板</t>
  </si>
  <si>
    <t>标签5. 领域</t>
  </si>
  <si>
    <t>标签6. 功能</t>
  </si>
  <si>
    <t>提交者</t>
  </si>
  <si>
    <t>更新时间</t>
  </si>
  <si>
    <t>模板描述</t>
  </si>
  <si>
    <t>模板示例图片地址</t>
  </si>
  <si>
    <t>压缩包</t>
  </si>
  <si>
    <t>文件名</t>
  </si>
  <si>
    <t>代码地址</t>
  </si>
  <si>
    <t>文件所在仓库</t>
  </si>
  <si>
    <t>文件来源</t>
  </si>
  <si>
    <t>代码</t>
  </si>
  <si>
    <t/>
  </si>
  <si>
    <t>NodeRed模板</t>
  </si>
  <si>
    <t>json</t>
  </si>
  <si>
    <t>NodeRed</t>
  </si>
  <si>
    <t>原生模板</t>
  </si>
  <si>
    <t>智慧家庭</t>
  </si>
  <si>
    <t>场景管理</t>
  </si>
  <si>
    <t>陈乐</t>
  </si>
  <si>
    <t>实现智能灯光和风扇设备的多种操作模式，包括单击、双击、长按等不同按钮触发的动作响应。</t>
  </si>
  <si>
    <t>json_nodered_home-assistant.tar.gz</t>
  </si>
  <si>
    <t>1.json</t>
  </si>
  <si>
    <t>ryanjohnsontv/node-red-contrib-ha-inovelli-manager</t>
  </si>
  <si>
    <t>https://github.com/ryanjohnsontv/node-red-contrib-ha-inovelli-manager/blob/19bb69c5905d2a7f352b5dfb361b1dffbf1c45d9/examples/scene_manager_with_entityid.json</t>
  </si>
  <si>
    <t>定时控制</t>
  </si>
  <si>
    <t>每隔一段时间触发Zwave设备状态更新并调用服务批量设置指定开关的状态参数。</t>
  </si>
  <si>
    <t>2.json</t>
  </si>
  <si>
    <t>pdong/node-contrib-inovelli-status-manager</t>
  </si>
  <si>
    <t>https://github.com/pdong/node-contrib-inovelli-status-manager/blob/c8089cfbc4197bffa57c32e5b4461e2819e17055/examples/scene-to-multiple-switches.json</t>
  </si>
  <si>
    <t>获取交易记录</t>
  </si>
  <si>
    <t>通过HTTP GET请求获取最近的交易记录，并返回对象供后续节点处理。</t>
  </si>
  <si>
    <t>3.json</t>
  </si>
  <si>
    <t>dvankley/homeassistant-firefly-budget-alert</t>
  </si>
  <si>
    <t>https://github.com/dvankley/homeassistant-firefly-budget-alert/blob/ce3987f1f8b0c974e072f6e0de1582b1de895ffb/flow.json</t>
  </si>
  <si>
    <t>数据处理</t>
  </si>
  <si>
    <t>构建了一个包含多个节点的数据流程，用于执行特定的业务逻辑和数据处理任务。</t>
  </si>
  <si>
    <t>4.json</t>
  </si>
  <si>
    <t>clyra/tarifa-energia-br</t>
  </si>
  <si>
    <t>https://github.com/clyra/tarifa-energia-br/blob/c8158038533f8bbc56179464fe0198f1a11bf0f2/node-red/aneel-tarifas.json</t>
  </si>
  <si>
    <t>工作签到</t>
  </si>
  <si>
    <t>当人员实体状态变为特定值时触发，用于记录用户进入工作的时刻，并与家庭自动化系统进行交互。</t>
  </si>
  <si>
    <t>5.json</t>
  </si>
  <si>
    <t>domoticafacilconjota/capitulos</t>
  </si>
  <si>
    <t>https://github.com/domoticafacilconjota/capitulos/blob/73c53ca668499d57dda168ba6b9ab320cb10643d/temporada_3/S03E13/entrar_salir_zona.json</t>
  </si>
  <si>
    <t>功率限制</t>
  </si>
  <si>
    <t>监听输入功率限制滑块状态变化，当状态改变时输出新的实体状态信息。忽略前一状态的空值和未知值，仅在状态变化时触发输出。</t>
  </si>
  <si>
    <t>6.json</t>
  </si>
  <si>
    <t>condacum/SMA-Modbus-energy-management-system</t>
  </si>
  <si>
    <t>https://github.com/condacum/SMA-Modbus-energy-management-system/blob/6e53cdb94f36b0dca16f7f427a576e0ed61e8dc6/zero%20export%20only.json</t>
  </si>
  <si>
    <t>智能窗帘控制</t>
  </si>
  <si>
    <t>通过MQTT接收窗帘指令，根据接收到的消息设置输入布尔值实体为开启状态。</t>
  </si>
  <si>
    <t>7.json</t>
  </si>
  <si>
    <t>julietsvq/HomeAssistant-NodeRed</t>
  </si>
  <si>
    <t>https://github.com/julietsvq/HomeAssistant-NodeRed/blob/35620ca651bdbc280a3ddfbdc88e2ebafc75eedb/dash%20button%20flow.json</t>
  </si>
  <si>
    <t>IFTTT触发</t>
  </si>
  <si>
    <t>接收并处理IFTTT webhook事件，根据事件类型进行后续逻辑判断和操作。</t>
  </si>
  <si>
    <t>8.json</t>
  </si>
  <si>
    <t>mystcb/home-automation</t>
  </si>
  <si>
    <t>https://github.com/mystcb/home-automation/blob/db8fd9ce4a1b3c0fd1ec35656b673ed8eb6379a4/node-red-flows/alexa.json</t>
  </si>
  <si>
    <t>状态读取</t>
  </si>
  <si>
    <t>定时获取指定传感器的当前状态，并将结果发送至后续节点处理。</t>
  </si>
  <si>
    <t>9.json</t>
  </si>
  <si>
    <t>willbob8/willsurridgetech</t>
  </si>
  <si>
    <t>https://github.com/willbob8/willsurridgetech/blob/47257a52d0d6b5306ff353a2f43fbd269bb93dda/UKTransport.json</t>
  </si>
  <si>
    <t>温湿度解析</t>
  </si>
  <si>
    <t>从MQTT消息中提取并转换Ruuvi传感器数据，解析温度和湿度信息，并进行必要的数值修正。</t>
  </si>
  <si>
    <t>10.json</t>
  </si>
  <si>
    <t>Farmer-Eds-Shed/Smart-Medicine-Bottle</t>
  </si>
  <si>
    <t>https://github.com/Farmer-Eds-Shed/Smart-Medicine-Bottle/blob/5b7869722b68d62ea52e1733736367b2243fa1a9/Node-Red-HA-flow.json</t>
  </si>
  <si>
    <t>定时触发</t>
  </si>
  <si>
    <t>每60秒注入当前日期时间，用于触发后续节点执行土壤传感器值更新及其他相关操作。</t>
  </si>
  <si>
    <t>11.json</t>
  </si>
  <si>
    <t>njhughes-01/nodeRed-HA-GrowingFunctions</t>
  </si>
  <si>
    <t>https://github.com/njhughes-01/nodeRed-HA-GrowingFunctions/blob/7328310340cb5de75f245922ac857821c710153a/soilSensorFeedv2.json</t>
  </si>
  <si>
    <t>温湿监控</t>
  </si>
  <si>
    <t>接收IBM IoT平台的设备事件，提取温度和湿度数据并存储到全局变量中以便后续处理。</t>
  </si>
  <si>
    <t>12.json</t>
  </si>
  <si>
    <t>smartinternz02/SI-GuidedProject-2984-1623403867</t>
  </si>
  <si>
    <t>https://github.com/smartinternz02/SI-GuidedProject-2984-1623403867/blob/7766bd039db521ea4d2552c4d4b0ea5e040ae020/flows.json</t>
  </si>
  <si>
    <t>调试读取</t>
  </si>
  <si>
    <t>注入节点用于发送调试信息，获取与特定组相关的Home Assistant实体并输出结果。</t>
  </si>
  <si>
    <t>13.json</t>
  </si>
  <si>
    <t>RobertYoung/manchester-city-council-bin-collection</t>
  </si>
  <si>
    <t>https://github.com/RobertYoung/manchester-city-council-bin-collection/blob/c6ff1603f5b314ff7ec1cdd98954094d8a622368/assets/nodered/bin-automation-example.json</t>
  </si>
  <si>
    <t>每分钟定期触发，生成日期格式载荷并获取实体信息。</t>
  </si>
  <si>
    <t>14.json</t>
  </si>
  <si>
    <t>raspibo/ha-node-red-missing-devices</t>
  </si>
  <si>
    <t>https://github.com/raspibo/ha-node-red-missing-devices/blob/fdb07b138f34fbaef8a9063ffe38890614077ecf/ha-node-red-missing-devices-flow.json</t>
  </si>
  <si>
    <t>温度读取</t>
  </si>
  <si>
    <t>通过Home Assistant服务器获取myesp20_myesp20_temperature传感器的当前状态并输出温度数据。</t>
  </si>
  <si>
    <t>15.json</t>
  </si>
  <si>
    <t>htl-leo/sperlhof</t>
  </si>
  <si>
    <t>https://github.com/htl-leo/sperlhof/blob/de17ff7245fc9cdafebbc2d7beee961d47ef67bd/2023-04-18/nodered/esp-demo.json</t>
  </si>
  <si>
    <t>温度监测</t>
  </si>
  <si>
    <t>定时获取并处理与温度相关的当前状态信息，每三秒执行一次。</t>
  </si>
  <si>
    <t>16.json</t>
  </si>
  <si>
    <t>htl-leo/iot</t>
  </si>
  <si>
    <t>https://github.com/htl-leo/iot/blob/0705610e707fcc8b828e83f2e24acde3cf770f5d/nodered/esp-demo.json</t>
  </si>
  <si>
    <t>家庭助手</t>
  </si>
  <si>
    <t>连接并配置Home Assistant服务器，启用安全证书验证和JSON缓存，设置布尔逻辑判断标准。</t>
  </si>
  <si>
    <t>17.json</t>
  </si>
  <si>
    <t>tawangimjiz/FingerprintAuthenticatorIntegratedWithHomeAssistant</t>
  </si>
  <si>
    <t>https://github.com/tawangimjiz/FingerprintAuthenticatorIntegratedWithHomeAssistant/blob/75be44eac2725e7d34bafcdf992cf33258f08df5/flows.json</t>
  </si>
  <si>
    <t>灌溉控制</t>
  </si>
  <si>
    <t>调用API服务来开启和关闭花园灌溉开关，实现自动化管理花园的浇水任务。</t>
  </si>
  <si>
    <t>18.json</t>
  </si>
  <si>
    <t>https://github.com/julietsvq/HomeAssistant-NodeRed/blob/35620ca651bdbc280a3ddfbdc88e2ebafc75eedb/garden%20irrigation%20flow.json</t>
  </si>
  <si>
    <t>Zigbee通知</t>
  </si>
  <si>
    <t>接收注入的Z-Wave数据并生成指定颜色、亮度等参数的通知消息，通过特定配置触发相关设备响应。</t>
  </si>
  <si>
    <t>19.json</t>
  </si>
  <si>
    <t>ryanjohnsontv/node-red-contrib-inovelli-notification-calculator</t>
  </si>
  <si>
    <t>https://github.com/ryanjohnsontv/node-red-contrib-inovelli-notification-calculator/blob/5550ec3f54d0ddb4a1e52716209f6e8b08de7ca8/examples/notify_multiple_switches.json</t>
  </si>
  <si>
    <t>定时刷新电价</t>
  </si>
  <si>
    <t>每小时注入请求以获取并处理当前和未来一天的电费信息，通过Tibber API查询并接收价格数据。</t>
  </si>
  <si>
    <t>20.json</t>
  </si>
  <si>
    <t>ottopaulsen/node-red-contrib-power-saver</t>
  </si>
  <si>
    <t>https://github.com/ottopaulsen/node-red-contrib-power-saver/blob/18bbec7348fd1d3e8767048a0681c236b053eba9/examples/lowest-price-for-heating-cables.json</t>
  </si>
  <si>
    <t>Pi背光控制</t>
  </si>
  <si>
    <t>接收来自MQTT主题dashboard/pi/power/set和dashboard/pi/brightness/set的指令消息，分别用于设置树莓派显示屏电源状态和亮度。</t>
  </si>
  <si>
    <t>21.json</t>
  </si>
  <si>
    <t>mpfl/home-assistant-config</t>
  </si>
  <si>
    <t>https://github.com/mpfl/home-assistant-config/blob/05924ce95efbb5d11aa99c57af234dc0aaa74465/pi-dashboard-backlight-howto/node-red-pi-dashboard-flows.json</t>
  </si>
  <si>
    <t>温度检测</t>
  </si>
  <si>
    <t>每5秒触发检查当前制冷设备状态，判断是否需要启动制冷系统以维持适宜的环境温度。</t>
  </si>
  <si>
    <t>22.json</t>
  </si>
  <si>
    <t>https://github.com/domoticafacilconjota/capitulos/blob/73c53ca668499d57dda168ba6b9ab320cb10643d/temporada_2/S02E19/jota.json</t>
  </si>
  <si>
    <t>通知发送</t>
  </si>
  <si>
    <t>接收包含商品促销信息的输入数据，生成并发送带有折扣和价格详情的通知消息至指定移动设备。</t>
  </si>
  <si>
    <t>23.json</t>
  </si>
  <si>
    <t>custom-components/sensor.nintendo_wishlist</t>
  </si>
  <si>
    <t>https://github.com/custom-components/sensor.nintendo_wishlist/blob/6e1c31dc0a75ade8b14f5daeb6bb5213ae8d300b/assets/flow.json</t>
  </si>
  <si>
    <t>语音助手</t>
  </si>
  <si>
    <t>此流程通过意图识别处理用户请求，并根据需求改变灯光状态，最后结束会话。</t>
  </si>
  <si>
    <t>24.json</t>
  </si>
  <si>
    <t>hbarnard/mema</t>
  </si>
  <si>
    <t>https://github.com/hbarnard/mema/blob/ac7a14c1d5616a20b04bcc430f32b4fd22591a24/bits-and-pieces/light_switch_example.json</t>
  </si>
  <si>
    <t>智能家居</t>
  </si>
  <si>
    <t>配置连接到Home Assistant服务器，实现家庭设备的智能化管理与控制。</t>
  </si>
  <si>
    <t>25.json</t>
  </si>
  <si>
    <t>NotWoods/automate-our-relationship</t>
  </si>
  <si>
    <t>https://github.com/NotWoods/automate-our-relationship/blob/c83448c0a731e0986754bfa904d9f6ed58b927dc/node-red-flows.json</t>
  </si>
  <si>
    <t>通知级联</t>
  </si>
  <si>
    <t>当特定输入布尔值状态改变时，触发通知级联流程，并根据条件输出相关信息。</t>
  </si>
  <si>
    <t>26.json</t>
  </si>
  <si>
    <t>migacode/home-assistant</t>
  </si>
  <si>
    <t>https://github.com/migacode/home-assistant/blob/5b4a7c4f3f819f0c1951564fb957d9a9223f2353/noticade/code/noticade_nodered_flow_1.10.json</t>
  </si>
  <si>
    <t>光伏日能量读取</t>
  </si>
  <si>
    <t>从Home Assistant服务器读取每日太阳能发电量数据，并通过指定的OpcUa端点进行通信。</t>
  </si>
  <si>
    <t>27.json</t>
  </si>
  <si>
    <t>knetsooj/home-assistant-config</t>
  </si>
  <si>
    <t>https://github.com/knetsooj/home-assistant-config/blob/cad2a83a73509e448e6567f840bb7c546a3bbff2/node-red/flows.json</t>
  </si>
  <si>
    <t>报警状态监听</t>
  </si>
  <si>
    <t>当指定的输入布尔型实体“input_boolean.alarm”状态为"on"时停止流程，仅在状态变化时输出信号。</t>
  </si>
  <si>
    <t>28.json</t>
  </si>
  <si>
    <t>https://github.com/willbob8/willsurridgetech/blob/47257a52d0d6b5306ff353a2f43fbd269bb93dda/Alarm.json</t>
  </si>
  <si>
    <t>事件触发</t>
  </si>
  <si>
    <t>监听iOS设备的特定操作事件并根据事件名称进行逻辑判断，当检测到“Sleep”动作时执行相应流程。</t>
  </si>
  <si>
    <t>29.json</t>
  </si>
  <si>
    <t>https://github.com/willbob8/willsurridgetech/blob/47257a52d0d6b5306ff353a2f43fbd269bb93dda/iosWidgets.json</t>
  </si>
  <si>
    <t>智能灯控制</t>
  </si>
  <si>
    <t>订阅指定MQTT主题并根据消息内容切换指定位置的智能灯状态。</t>
  </si>
  <si>
    <t>30.json</t>
  </si>
  <si>
    <t>https://github.com/domoticafacilconjota/capitulos/blob/73c53ca668499d57dda168ba6b9ab320cb10643d/temporada_2/S02E15/mqtt_encender_apagar.json</t>
  </si>
  <si>
    <t>定时查询</t>
  </si>
  <si>
    <t>每天午夜检查办公区空调当前状态，并根据其是否开启决定后续流程。</t>
  </si>
  <si>
    <t>31.json</t>
  </si>
  <si>
    <t>https://github.com/julietsvq/HomeAssistant-NodeRed/blob/35620ca651bdbc280a3ddfbdc88e2ebafc75eedb/office%20air%20flow.json</t>
  </si>
  <si>
    <t>状态监测</t>
  </si>
  <si>
    <t>监听特定实体的状态变化，在指定条件满足时输出信息，主要用于自动化控制和事件响应。</t>
  </si>
  <si>
    <t>32.json</t>
  </si>
  <si>
    <t>https://github.com/willbob8/willsurridgetech/blob/47257a52d0d6b5306ff353a2f43fbd269bb93dda/sonos_tts.json</t>
  </si>
  <si>
    <t>月相检测</t>
  </si>
  <si>
    <t>当指定传感器感应到满月状态时，输出相关信息，并仅在状态变化时触发。忽略之前和当前的未知或不可用状态。</t>
  </si>
  <si>
    <t>33.json</t>
  </si>
  <si>
    <t>vdbrink/vdbrink.github.io</t>
  </si>
  <si>
    <t>https://github.com/vdbrink/vdbrink.github.io/blob/4b8afea0793506836b24ac5ad81313b12d7211cc/node-red/flows/vdbrink_ha_full_moon.json</t>
  </si>
  <si>
    <t>灯光切换</t>
  </si>
  <si>
    <t>通过注入信号触发灯光状态切换，利用toggle属性实现开关灯效果，并调用API服务更新指定灯具的状态。</t>
  </si>
  <si>
    <t>34.json</t>
  </si>
  <si>
    <t>nidayand/node-red-contrib-norelite-homeassistant</t>
  </si>
  <si>
    <t>https://github.com/nidayand/node-red-contrib-norelite-homeassistant/blob/9844e09ed303b92638db924ff0538d90566755ca/examples/light.json</t>
  </si>
  <si>
    <t>邮件通知</t>
  </si>
  <si>
    <t>通过注入定时任务触发API调用服务，执行邮件发送操作以实现自动化的邮件通知功能。</t>
  </si>
  <si>
    <t>35.json</t>
  </si>
  <si>
    <t>https://github.com/willbob8/willsurridgetech/blob/47257a52d0d6b5306ff353a2f43fbd269bb93dda/SMTP.json</t>
  </si>
  <si>
    <t>打印信息</t>
  </si>
  <si>
    <t>订阅ender3/home主题，当payload.home等于"ok"时触发后续节点。</t>
  </si>
  <si>
    <t>36.json</t>
  </si>
  <si>
    <t>tpaphysics/alexa-control-3dprint</t>
  </si>
  <si>
    <t>https://github.com/tpaphysics/alexa-control-3dprint/blob/0878284ade1eac4d41f1d9386c776590298c9d66/flows-node-red.json</t>
  </si>
  <si>
    <t>HA设备请求</t>
  </si>
  <si>
    <t>从Home Assistant获取指定开关状态并根据条件生成消息，通过函数节点处理相关逻辑后发送至后续节点。</t>
  </si>
  <si>
    <t>37.json</t>
  </si>
  <si>
    <t>WattageGuy/My-Home-Assistant-Config</t>
  </si>
  <si>
    <t>https://github.com/WattageGuy/My-Home-Assistant-Config/blob/7487e7e9c196ccc0a2336ec3840dd0e49b32544a/node-red-announcer-flow.json</t>
  </si>
  <si>
    <t>传感器监控</t>
  </si>
  <si>
    <t>当指定的二进制传感器状态变为“on”时，输出信号并停止流程，定时器设置为每天早上六点重置触发状态。</t>
  </si>
  <si>
    <t>38.json</t>
  </si>
  <si>
    <t>CCOSTAN/Home-AssistantConfig</t>
  </si>
  <si>
    <t>https://github.com/CCOSTAN/Home-AssistantConfig/blob/0716917255fcb6c736656a1750544e22ac07d680/config/shell_scripts/FeedMurray_flows.json</t>
  </si>
  <si>
    <t>电量处理</t>
  </si>
  <si>
    <t>从MQTT主题Daly2Sofar/state接收数据，提取并设置消息载荷为状态电量值百分比，然后输出。</t>
  </si>
  <si>
    <t>39.json</t>
  </si>
  <si>
    <t>loopyengineeringco/Daly2Sofar</t>
  </si>
  <si>
    <t>https://github.com/loopyengineeringco/Daly2Sofar/blob/553ce9e89f5d734e8a7a2f2f7913b9901f184311/Daly2Sofar%20Node-Red%20to%20Home%20Assistant%20flow.json</t>
  </si>
  <si>
    <t>AI接口</t>
  </si>
  <si>
    <t>接收POST请求并调用自定义AI处理逻辑，用于对接GPT模型的API端点。</t>
  </si>
  <si>
    <t>40.json</t>
  </si>
  <si>
    <t>roblandry/nodered_conversation</t>
  </si>
  <si>
    <t>https://github.com/roblandry/nodered_conversation/blob/76a8b84a39359b4ebfa53e4e9e0f65939b5df800/nodered_sample_flow.json</t>
  </si>
  <si>
    <t>智能家居温控</t>
  </si>
  <si>
    <t>通过亚马逊智能设备接收并转发不同温度设置的信号，更新Alexa最后状态传感器数据。</t>
  </si>
  <si>
    <t>41.json</t>
  </si>
  <si>
    <t>3ative/room-aware-thermostats</t>
  </si>
  <si>
    <t>https://github.com/3ative/room-aware-thermostats/blob/d164607cae7c3ab94aa794158562d3f285d84979/Thermostat_Commander.json</t>
  </si>
  <si>
    <t>定时检测</t>
  </si>
  <si>
    <t>每日18点检查传感器ATH明日状态，若符合条件则继续执行后续流程。</t>
  </si>
  <si>
    <t>42.json</t>
  </si>
  <si>
    <t>https://github.com/migacode/home-assistant/blob/5b4a7c4f3f819f0c1951564fb957d9a9223f2353/ath/code/ATH_nodered_flow_1.00.json</t>
  </si>
  <si>
    <t>家庭电源状态</t>
  </si>
  <si>
    <t>监控和管理家庭设备的电源状态，通过触发器激活相关操作，实现自动化控制。</t>
  </si>
  <si>
    <t>43.json</t>
  </si>
  <si>
    <t>poweredgenl/smarthome</t>
  </si>
  <si>
    <t>https://github.com/poweredgenl/smarthome/blob/5e6900132d8dc4f28bdcc20de6d885a3a13166d2/housenotifications/housestatus.json</t>
  </si>
  <si>
    <t>电池监测</t>
  </si>
  <si>
    <t>通过Home Assistant获取设备中带有电池属性的实体，进行电池状态检查。</t>
  </si>
  <si>
    <t>44.json</t>
  </si>
  <si>
    <t>https://github.com/poweredgenl/smarthome/blob/5e6900132d8dc4f28bdcc20de6d885a3a13166d2/housenotifications/batterychecks.json</t>
  </si>
  <si>
    <t>电视控制</t>
  </si>
  <si>
    <t>通过Python库pylips实现对Philips TV的远程控制，涉及HTTP协议及端口配置调整。用户需手动克隆pylips到家目录以使用该子流程。</t>
  </si>
  <si>
    <t>45.json</t>
  </si>
  <si>
    <t>dajuly20/node-red-contrib-pylips-philips-tv-control</t>
  </si>
  <si>
    <t>https://github.com/dajuly20/node-red-contrib-pylips-philips-tv-control/blob/521e59a5bbc449f69cabed38158406db7c7b92c1/subflow.json</t>
  </si>
  <si>
    <t>保存图表</t>
  </si>
  <si>
    <t>接收输入数据并将其存储到文件中，用于备份或持久化保存图表信息。</t>
  </si>
  <si>
    <t>46.json</t>
  </si>
  <si>
    <t>giuseppeg88/node-red-contrib-thermostat-scheduler</t>
  </si>
  <si>
    <t>https://github.com/giuseppeg88/node-red-contrib-thermostat-scheduler/blob/4e23dbb7b9b8493d8147627159c01e1a1bbbb324/flowIT.json</t>
  </si>
  <si>
    <t>门锁状态</t>
  </si>
  <si>
    <t>监听特定服务器中二进制传感器的锁定状态变化，并在状态改变时输出消息，忽略未知和不可用的状态。</t>
  </si>
  <si>
    <t>47.json</t>
  </si>
  <si>
    <t>https://github.com/ryanjohnsontv/node-red-contrib-ha-inovelli-manager/blob/19bb69c5905d2a7f352b5dfb361b1dffbf1c45d9/examples/lock_notifications.json</t>
  </si>
  <si>
    <t>浴室感应</t>
  </si>
  <si>
    <t>当检测到触发条件时，延迟180秒后关闭场景中的灯光，若未检测到触发则立即开启浴室预设的照明场景。</t>
  </si>
  <si>
    <t>48.json</t>
  </si>
  <si>
    <t>fixx-er/Project-files</t>
  </si>
  <si>
    <t>https://github.com/fixx-er/Project-files/blob/a6a39e5a26ea336d1fd350fc8f464e07d5c52045/Bath_PIR5.json</t>
  </si>
  <si>
    <t>每隔5秒触发检查当前制冷设备状态，判断是否需要激活冷却系统。</t>
  </si>
  <si>
    <t>49.json</t>
  </si>
  <si>
    <t>https://github.com/domoticafacilconjota/capitulos/blob/73c53ca668499d57dda168ba6b9ab320cb10643d/temporada_2/S02E19/jotina.json</t>
  </si>
  <si>
    <t>定时刷新</t>
  </si>
  <si>
    <t>定时触发节点组以在特定时间自动切换办公模式，预防系统异常。</t>
  </si>
  <si>
    <t>50.json</t>
  </si>
  <si>
    <t>Hoskar2ben/node-red-gestion-chauffage-ha</t>
  </si>
  <si>
    <t>https://github.com/Hoskar2ben/node-red-gestion-chauffage-ha/blob/98547987d7316267aafa665c72d9ea0ed53d1158/flows.json</t>
  </si>
  <si>
    <t>夜间备份</t>
  </si>
  <si>
    <t>每晚凌晨三点触发自动化全量备份，使用Node-RED定时器和Home Assistant API调用服务实现。</t>
  </si>
  <si>
    <t>51.json</t>
  </si>
  <si>
    <t>https://github.com/julietsvq/HomeAssistant-NodeRed/blob/35620ca651bdbc280a3ddfbdc88e2ebafc75eedb/backup%20nightly%20flow.json</t>
  </si>
  <si>
    <t>每日18点检查明天的垃圾回收状态并触发后续逻辑，若无特定状态则继续执行。</t>
  </si>
  <si>
    <t>52.json</t>
  </si>
  <si>
    <t>https://github.com/migacode/home-assistant/blob/5b4a7c4f3f819f0c1951564fb957d9a9223f2353/ath/code/ATH_nodered_flow_1.10.json</t>
  </si>
  <si>
    <t>远程告警</t>
  </si>
  <si>
    <t>接收HTTP GET请求后，向Home Assistant服务器发送特定类型的紧急事件数据，并返回HTTP 200状态码。</t>
  </si>
  <si>
    <t>53.json</t>
  </si>
  <si>
    <t>gerritjandebruin/home-assistant</t>
  </si>
  <si>
    <t>https://github.com/gerritjandebruin/home-assistant/blob/873aad4c5fe0954455120a8c885bfc19e639d191/node-red/flows.json</t>
  </si>
  <si>
    <t>门开检测</t>
  </si>
  <si>
    <t>触发器用于监控前端门开关传感器状态变化，当门打开时生成事件。</t>
  </si>
  <si>
    <t>54.json</t>
  </si>
  <si>
    <t>thomaslagies/homeassistant</t>
  </si>
  <si>
    <t>https://github.com/thomaslagies/homeassistant/blob/c2a258b90d9d39c77a820b51e6928b8ed16467c6/config/flow-front-door-open.json</t>
  </si>
  <si>
    <t>淋浴风扇控制</t>
  </si>
  <si>
    <t>通过API调用服务设置淋浴房间的风扇风速为87%，并在10分钟后触发进一步操作。</t>
  </si>
  <si>
    <t>55.json</t>
  </si>
  <si>
    <t>https://github.com/poweredgenl/smarthome/blob/5e6900132d8dc4f28bdcc20de6d885a3a13166d2/automations/bathroom_showering_ITHO_mqtt.json</t>
  </si>
  <si>
    <t>设备控制</t>
  </si>
  <si>
    <t>通过注入特定JSON指令来手动控制Tuya智能设备，并监听其状态变化以响应应用端的状态更新。</t>
  </si>
  <si>
    <t>56.json</t>
  </si>
  <si>
    <t>Bellavista/Tuya-Local-Honeygaridan-S56</t>
  </si>
  <si>
    <t>https://github.com/Bellavista/Tuya-Local-Honeygaridan-S56/blob/ffa98b510dabf43970ca4e9d0d156776fcf7d511/node%20red%20flow.json</t>
  </si>
  <si>
    <t>体重状态监听</t>
  </si>
  <si>
    <t>监听特定用户的体重传感器数据变化，当检测到传感器状态更新时触发相应流程。</t>
  </si>
  <si>
    <t>57.json</t>
  </si>
  <si>
    <t>Fireprufe15/NodeRedHASSGoogleFitWeightFlow</t>
  </si>
  <si>
    <t>https://github.com/Fireprufe15/NodeRedHASSGoogleFitWeightFlow/blob/a5e2a8e83d4e6418da678ce4de42c2d27372bf62/flow.json</t>
  </si>
  <si>
    <t>水质净化控制</t>
  </si>
  <si>
    <t>读取并根据输入信号状态切换泳池净化设备开关，通过API调用服务实现设备启停控制，并将状态信息输出到调试面板。</t>
  </si>
  <si>
    <t>58.json</t>
  </si>
  <si>
    <t>ccorderor/home-assistant-config</t>
  </si>
  <si>
    <t>https://github.com/ccorderor/home-assistant-config/blob/5ed012c6a0df4d05b2e38eb58408cc49bfdb8942/youtube/pool/excedentes.json</t>
  </si>
  <si>
    <t>Spotify状态接口</t>
  </si>
  <si>
    <t>接收POST请求，处理Spotify连接状态信息并返回HTTP 200响应。</t>
  </si>
  <si>
    <t>59.json</t>
  </si>
  <si>
    <t>thoebert/Spotify-Receiver</t>
  </si>
  <si>
    <t>https://github.com/thoebert/Spotify-Receiver/blob/8ed4865b2a7c9111104539842e4c27ddffa763ef/Flow.json</t>
  </si>
  <si>
    <t>通知计算</t>
  </si>
  <si>
    <t>读取并配置特定属性，调用API服务进行处理和数据传输。</t>
  </si>
  <si>
    <t>60.json</t>
  </si>
  <si>
    <t>https://github.com/ryanjohnsontv/node-red-contrib-inovelli-notification-calculator/blob/5550ec3f54d0ddb4a1e52716209f6e8b08de7ca8/examples/overwriting_node_values.json</t>
  </si>
  <si>
    <t>ISS时间同步</t>
  </si>
  <si>
    <t>监测特定传感器的本地时间变化，并在时间发生变化时输出信息到指定Dweet主题。</t>
  </si>
  <si>
    <t>61.json</t>
  </si>
  <si>
    <t>mikenabhan/iss-local-time</t>
  </si>
  <si>
    <t>https://github.com/mikenabhan/iss-local-time/blob/ee18470087c27d00a27c6c825a2cdca6e3d4d37a/node-red-flow.json</t>
  </si>
  <si>
    <t>主题输入</t>
  </si>
  <si>
    <t>监听特定实体ID的输入选择变化，当输入选择的主题发生改变时触发后续操作。此节点配置为仅在状态变更时输出信息，并不暴露到HomeAssistant中。</t>
  </si>
  <si>
    <t>62.json</t>
  </si>
  <si>
    <t>MrKnister81/Repo2</t>
  </si>
  <si>
    <t>https://github.com/MrKnister81/Repo2/blob/0ec8a4b7acf63d8618bcf2fdd968d6256e998acb/src/seletor_theme_nodered.json</t>
  </si>
  <si>
    <t>备份检测</t>
  </si>
  <si>
    <t>监听Samba备份传感器状态变化，用于监控和触发备份检查操作。</t>
  </si>
  <si>
    <t>63.json</t>
  </si>
  <si>
    <t>https://github.com/poweredgenl/smarthome/blob/5e6900132d8dc4f28bdcc20de6d885a3a13166d2/housenotifications/backupcheck.json</t>
  </si>
  <si>
    <t>家居控制</t>
  </si>
  <si>
    <t>通过Home Assistant向Universal节点发送命令和参数，实现自动化控制，支持模板变量。</t>
  </si>
  <si>
    <t>64.json</t>
  </si>
  <si>
    <t>hklages/node-red-contrib-sonos-plus</t>
  </si>
  <si>
    <t>https://github.com/hklages/node-red-contrib-sonos-plus/blob/d76de0a901b3107baabcd42a55977e30860ba310/examples/02%20home%20assistant.json</t>
  </si>
  <si>
    <t>红外感应</t>
  </si>
  <si>
    <t>监听门厅红外传感器状态变化，当检测到“on”时触发动作，持续监测直至变为“off”，并根据不同状态切换输出路径。</t>
  </si>
  <si>
    <t>65.json</t>
  </si>
  <si>
    <t>deadman96385/home-assistant-resources</t>
  </si>
  <si>
    <t>https://github.com/deadman96385/home-assistant-resources/blob/304cd7c5a8ae9bf73f1b8a93f38f9168afe878ca/node-red/flows.json</t>
  </si>
  <si>
    <t>状态监控</t>
  </si>
  <si>
    <t>监听特定传感器的状态变化并输出相应信息，仅在状态发生变化时触发输出。配置为精确匹配实体ID，并不暴露到HomeAssistant中。</t>
  </si>
  <si>
    <t>66.json</t>
  </si>
  <si>
    <t>https://github.com/domoticafacilconjota/capitulos/blob/73c53ca668499d57dda168ba6b9ab320cb10643d/temporada_3/S03E03/todas_las_caras.json</t>
  </si>
  <si>
    <t>充电状态</t>
  </si>
  <si>
    <t>监听特定开关实体的精确充电状态变化，并在状态改变时输出信号，用于触发后续流程。</t>
  </si>
  <si>
    <t>67.json</t>
  </si>
  <si>
    <t>jgthornburgh/homeassistant-config</t>
  </si>
  <si>
    <t>https://github.com/jgthornburgh/homeassistant-config/blob/b880db526620884616dad16ae202b6fa800408c9/Tesla-charging.json</t>
  </si>
  <si>
    <t>门铃状态</t>
  </si>
  <si>
    <t>监听指定二进制传感器的精确状态变化，当检测到特定状态时触发下游节点处理逻辑。</t>
  </si>
  <si>
    <t>68.json</t>
  </si>
  <si>
    <t>https://github.com/willbob8/willsurridgetech/blob/47257a52d0d6b5306ff353a2f43fbd269bb93dda/DIYDoorbell/Doorbell_automation.json</t>
  </si>
  <si>
    <t>热水池控制</t>
  </si>
  <si>
    <t>接收来自MQTT主题BW_2.0.0/message的JSON消息，并根据特定条件发送命令到BW_2.0.0/command主题，用于控制热水池设备。</t>
  </si>
  <si>
    <t>69.json</t>
  </si>
  <si>
    <t>visualapproach/WiFi-remote-for-Bestway-Lay-Z-SPA</t>
  </si>
  <si>
    <t>https://github.com/visualapproach/WiFi-remote-for-Bestway-Lay-Z-SPA/blob/d325cdde3486574c21fb6136a114a6e3117b5b7a/Code/Nodered%20flows/flows.json</t>
  </si>
  <si>
    <t>日历请求生成</t>
  </si>
  <si>
    <t>创建包含指定时间范围和排序参数的日历API请求，用于从Google Calendar获取事件列表。</t>
  </si>
  <si>
    <t>70.json</t>
  </si>
  <si>
    <t>jesserockz/esphome-inkplate-agenda</t>
  </si>
  <si>
    <t>https://github.com/jesserockz/esphome-inkplate-agenda/blob/acc36227aeb660d0d34bdd02a511f0082315bd19/node-red-flow.json</t>
  </si>
  <si>
    <t>每五秒生成一个包含当前日期的载荷消息，并通过链接调用节点传递给指定的目标节点，实现周期性数据注入。</t>
  </si>
  <si>
    <t>71.json</t>
  </si>
  <si>
    <t>shiv995545/ChargeNet</t>
  </si>
  <si>
    <t>https://github.com/shiv995545/ChargeNet/blob/49becc4c4975b9ca03f98a8e6f30aa26aaddc308/integrations/home-assistant/HASS-Node-RED.json</t>
  </si>
  <si>
    <t>计算光伏逆变器的最大发电量，根据输入消息更新当前功率限制，并确保其不超过预设的最高值。</t>
  </si>
  <si>
    <t>72.json</t>
  </si>
  <si>
    <t>TillitschScHocK/Smart-Solar-Limiter-with-NodeRED-OpenDTU-MQTT</t>
  </si>
  <si>
    <t>https://github.com/TillitschScHocK/Smart-Solar-Limiter-with-NodeRED-OpenDTU-MQTT/blob/59104cf685415f421b9ad5d01f07d7c587bf7e6a/Node-RED%20Flow/Zero%20Feed-in-Flow.json</t>
  </si>
  <si>
    <t>通过Home Assistant API创建持久通知，当有新邮件时发送带有标题“New Mail”和消息“Mail has been delivered”的通知。</t>
  </si>
  <si>
    <t>73.json</t>
  </si>
  <si>
    <t>cjramseyer/nodered</t>
  </si>
  <si>
    <t>https://github.com/cjramseyer/nodered/blob/cb87b7cc23596ceb44777113192d5e99864e88e8/flowexports/mail.json</t>
  </si>
  <si>
    <t>定时注入</t>
  </si>
  <si>
    <t>每五分钟触发一次注入节点，发送当前日期时间数据至指定链接调用节点。</t>
  </si>
  <si>
    <t>74.json</t>
  </si>
  <si>
    <t>SmartEVSE/SmartEVSE-3</t>
  </si>
  <si>
    <t>https://github.com/SmartEVSE/SmartEVSE-3/blob/fe3eb55f6d93652be49f55ca07c522d642bc6e6e/integrations/home-assistant/HASS-Node-RED.json</t>
  </si>
  <si>
    <t>电价监控</t>
  </si>
  <si>
    <t>通过定时查询 Tibber API 获取当前和未来一天的电价信息，并将获取到的数据传递给价格接收节点。</t>
  </si>
  <si>
    <t>75.json</t>
  </si>
  <si>
    <t>https://github.com/ottopaulsen/node-red-contrib-power-saver/blob/18bbec7348fd1d3e8767048a0681c236b053eba9/examples/heat-capacitor-for-room-heating.json</t>
  </si>
  <si>
    <t>随机延迟灯光切换</t>
  </si>
  <si>
    <t>通过设置随机延迟时间来控制特定设备的灯光在指定时间段内进行开关切换操作。</t>
  </si>
  <si>
    <t>76.json</t>
  </si>
  <si>
    <t>https://github.com/migacode/home-assistant/blob/5b4a7c4f3f819f0c1951564fb957d9a9223f2353/spooky/code/spooky_nodered_flow_1.10.json</t>
  </si>
  <si>
    <t>定时读取状态</t>
  </si>
  <si>
    <t>每隔10秒注入消息触发读取指定实体的状态，并将结果发送到下一个节点进行进一步处理。该流程不包含任何子标签，直接从API获取输入设备的起始时间信息并以字符串形式输出。</t>
  </si>
  <si>
    <t>77.json</t>
  </si>
  <si>
    <t>https://github.com/willbob8/willsurridgetech/blob/47257a52d0d6b5306ff353a2f43fbd269bb93dda/SocialHours.json</t>
  </si>
  <si>
    <t>智能照明控制</t>
  </si>
  <si>
    <t>通过Node-RED调用Home Assistant API，根据传感器状态实现厨房门口灯具的自动开启和关闭。</t>
  </si>
  <si>
    <t>78.json</t>
  </si>
  <si>
    <t>aureliosaraiva/HomeAssistant</t>
  </si>
  <si>
    <t>https://github.com/aureliosaraiva/HomeAssistant/blob/870d723b2985a983d168c0be142c006146d984f1/config/node-red/flows.json</t>
  </si>
  <si>
    <t>根据传感器检测到的进入事件，调用API服务来开启或关闭入口处的灯具，并可调整灯光亮度百分比。</t>
  </si>
  <si>
    <t>79.json</t>
  </si>
  <si>
    <t>https://github.com/domoticafacilconjota/capitulos/blob/73c53ca668499d57dda168ba6b9ab320cb10643d/temporada_2/S02E23/IsilionKodi.json</t>
  </si>
  <si>
    <t>定时开关</t>
  </si>
  <si>
    <t>根据地理位置和时间设置，在每天晚上23:05触发事件，模拟夜晚时段的光照变化。该节点在所有日期和月份都启用，并且不受星期几的影响。</t>
  </si>
  <si>
    <t>80.json</t>
  </si>
  <si>
    <t>https://github.com/domoticafacilconjota/capitulos/blob/73c53ca668499d57dda168ba6b9ab320cb10643d/flows_suscriptores/S02E13/opcion_1.json</t>
  </si>
  <si>
    <t>智能灯光</t>
  </si>
  <si>
    <t>接收Webhook并检查特定状态，根据条件决定是否执行虚拟黎明流程。</t>
  </si>
  <si>
    <t>81.json</t>
  </si>
  <si>
    <t>https://github.com/domoticafacilconjota/capitulos/blob/73c53ca668499d57dda168ba6b9ab320cb10643d/temporada_1/S01E12/luces_al_despertar.json</t>
  </si>
  <si>
    <t>洗衣机监控</t>
  </si>
  <si>
    <t>监听特定传感器状态变化，触发相应逻辑处理，实时监测洗衣机能耗数据。</t>
  </si>
  <si>
    <t>82.json</t>
  </si>
  <si>
    <t>https://github.com/domoticafacilconjota/capitulos/blob/73c53ca668499d57dda168ba6b9ab320cb10643d/temporada_2/S02E24/lavadora_telegram.json</t>
  </si>
  <si>
    <t>Z-Wave场景通知</t>
  </si>
  <si>
    <t>监听Z-Wave JS服务器的值通知事件，并将特定的数据属性作为消息输出，不暴露给Home Assistant。</t>
  </si>
  <si>
    <t>83.json</t>
  </si>
  <si>
    <t>https://github.com/ryanjohnsontv/node-red-contrib-ha-inovelli-manager/blob/19bb69c5905d2a7f352b5dfb361b1dffbf1c45d9/examples/scene_manager.json</t>
  </si>
  <si>
    <t>HA重启检测</t>
  </si>
  <si>
    <t>监听Home Assistant客户端事件，当检测到运行状态为running时触发输入布尔值开关关闭操作，用于自动化管理Home Assistant服务重启逻辑。</t>
  </si>
  <si>
    <t>84.json</t>
  </si>
  <si>
    <t>donnievawter/NR_F24</t>
  </si>
  <si>
    <t>https://github.com/donnievawter/NR_F24/blob/5c506a325bd637320166557db405faacc853b0b4/HA_Restart.json</t>
  </si>
  <si>
    <t>水位监测</t>
  </si>
  <si>
    <t>注入节点在抽水开始时触发，读取当前传感器数据并提取实际水位值，在整个流程中用于监控和记录抽水过程中的水位变化。</t>
  </si>
  <si>
    <t>85.json</t>
  </si>
  <si>
    <t>https://github.com/migacode/home-assistant/blob/5b4a7c4f3f819f0c1951564fb957d9a9223f2353/bem/code/bem_nodered_flow_1.30.json</t>
  </si>
  <si>
    <t>HA设备配置</t>
  </si>
  <si>
    <t>设置Home Assistant MQTT发现的默认设备参数，用于自动化流程中的设备初始化。</t>
  </si>
  <si>
    <t>86.json</t>
  </si>
  <si>
    <t>fucm/node-red</t>
  </si>
  <si>
    <t>https://github.com/fucm/node-red/blob/013f835262a96d940b61607745fb0eab0fed4d5b/flow-HA-MQTT-Tecalor-TTC05.json</t>
  </si>
  <si>
    <t>监听特定输入布尔值状态变化，当状态为“on”时触发相应操作，并将触发ID作为负载输出。忽略先前和当前未知或不可用的状态情况。</t>
  </si>
  <si>
    <t>87.json</t>
  </si>
  <si>
    <t>https://github.com/migacode/home-assistant/blob/5b4a7c4f3f819f0c1951564fb957d9a9223f2353/noticade/code/noticade_nodered_flow_1.00.json</t>
  </si>
  <si>
    <t>祷告时间提醒</t>
  </si>
  <si>
    <t>读取每日日落时刻，每天自动将计数器增加一天，并在午夜重置计数器为零。</t>
  </si>
  <si>
    <t>88.json</t>
  </si>
  <si>
    <t>islamic-home-automation/home-assistant-node-red</t>
  </si>
  <si>
    <t>https://github.com/islamic-home-automation/home-assistant-node-red/blob/f6aae3ba3fd5152e7162e701bfb28642d0f151ae/hijri-date/hijri-date-flow.json</t>
  </si>
  <si>
    <t>温度监控</t>
  </si>
  <si>
    <t>当客廳溫度高於25度时触发，读取并输出温控传感器的状态和实体信息。</t>
  </si>
  <si>
    <t>89.json</t>
  </si>
  <si>
    <t>kongoyo/HomeAssist</t>
  </si>
  <si>
    <t>https://github.com/kongoyo/HomeAssist/blob/acbaeaf67504dea4d8ce688a29229395432a6cff/%E7%95%B6%E5%AE%A2%E5%BB%B3%E5%BE%AA%E7%92%B0%E6%89%87%E9%96%8B%E5%95%9F_%E6%BA%AB%E5%BA%A6%E8%B6%85%E9%81%8E25%E5%BA%A6.json</t>
  </si>
  <si>
    <t>定时灯光控制</t>
  </si>
  <si>
    <t>根据设定的时间和日历条件自动切换灯光状态，实现自动化照明管理。</t>
  </si>
  <si>
    <t>90.json</t>
  </si>
  <si>
    <t>https://github.com/jgthornburgh/homeassistant-config/blob/b880db526620884616dad16ae202b6fa800408c9/Lights-flow.json</t>
  </si>
  <si>
    <t>数据发送</t>
  </si>
  <si>
    <t>生成中间件URL并将传感器数据通过HTTP请求发送至Volkszaehler服务器端点。</t>
  </si>
  <si>
    <t>91.json</t>
  </si>
  <si>
    <t>wrichter/homeautomation</t>
  </si>
  <si>
    <t>https://github.com/wrichter/homeautomation/blob/047711391d631931f32d40407488f1afc29f6a7a/node-red/flow.json</t>
  </si>
  <si>
    <t>数据平滑</t>
  </si>
  <si>
    <t>计算过去十分钟内的数据平均值以提高测量消费的CI精度，之后延迟处理时间等待最多五分钟。</t>
  </si>
  <si>
    <t>92.json</t>
  </si>
  <si>
    <t>https://github.com/domoticafacilconjota/capitulos/blob/73c53ca668499d57dda168ba6b9ab320cb10643d/flows_suscriptores/consumo/Luis-consumo-10min-menos15vatios-apagar.json</t>
  </si>
  <si>
    <t>余额触发</t>
  </si>
  <si>
    <t>当星灵有效余额低于30时触发现场场景，输出信号进行特定操作。</t>
  </si>
  <si>
    <t>93.json</t>
  </si>
  <si>
    <t>https://github.com/willbob8/willsurridgetech/blob/47257a52d0d6b5306ff353a2f43fbd269bb93dda/iosNotifications.json</t>
  </si>
  <si>
    <t>Alexa控制</t>
  </si>
  <si>
    <t>接收来自Alexa的指令，根据输入值调整滑动条位置，并生成相应的输出数据。</t>
  </si>
  <si>
    <t>94.json</t>
  </si>
  <si>
    <t>thehookup/Node-RED-Examples</t>
  </si>
  <si>
    <t>https://github.com/thehookup/Node-RED-Examples/blob/afcd4052ac3022e6e15f23f4232da113ecd49784/Alexa_Local.json</t>
  </si>
  <si>
    <t>水泵控制</t>
  </si>
  <si>
    <t>通过Home Assistant开关组件监听实体状态变化并触发MQTT消息发布，用于远程控制水培系统中的水泵。</t>
  </si>
  <si>
    <t>95.json</t>
  </si>
  <si>
    <t>Scottydosntkn0w/HydroponicsESP32</t>
  </si>
  <si>
    <t>https://github.com/Scottydosntkn0w/HydroponicsESP32/blob/8200c7e37ec4d741bc7b10c7ed10aceadf56a5d0/flows.json</t>
  </si>
  <si>
    <t>电池监控</t>
  </si>
  <si>
    <t>读取并处理M1电源和电量状态信息，输出相关实体属性至后续节点。</t>
  </si>
  <si>
    <t>96.json</t>
  </si>
  <si>
    <t>fonske/MarstekVenus-M5stackRS485</t>
  </si>
  <si>
    <t>https://github.com/fonske/MarstekVenus-M5stackRS485/blob/1b16dd4337ee0884e28b7dfdb4c1bc334829369f/node_red/nodered_marstek_1_battery.json</t>
  </si>
  <si>
    <t>能耗监控</t>
  </si>
  <si>
    <t>通过HTTP GET请求获取服务器数据，并将实时功率和总能耗信息发送到家庭自动化系统中的相关传感器。</t>
  </si>
  <si>
    <t>97.json</t>
  </si>
  <si>
    <t>Williampilote/home-assistant-hiportal</t>
  </si>
  <si>
    <t>https://github.com/Williampilote/home-assistant-hiportal/blob/d294c8f155bd5c1641810cdda157315324d363c2/flows.json</t>
  </si>
  <si>
    <t>垃圾日历注入</t>
  </si>
  <si>
    <t>定时触发并获取城市数据，用于生成或更新垃圾收集的日历信息。</t>
  </si>
  <si>
    <t>98.json</t>
  </si>
  <si>
    <t>mszynka/waste-collection-calendar-injector</t>
  </si>
  <si>
    <t>https://github.com/mszynka/waste-collection-calendar-injector/blob/abc469748587f6210a1b2e7b52dabe9f98ba3b99/nodered-flow.json</t>
  </si>
  <si>
    <t>家庭助手集成</t>
  </si>
  <si>
    <t>处理来自Home Assistant的设备发现请求，将前端设备信息转换为符合Home Assistant MQTT发现格式的数据，并发送到相关服务端口。</t>
  </si>
  <si>
    <t>99.json</t>
  </si>
  <si>
    <t>The-CosmicX/Node-Development</t>
  </si>
  <si>
    <t>https://github.com/The-CosmicX/Node-Development/blob/84dc30fc33a59068de0619d7915bb7bbd8c8f44f/apis/enhanced/enhanced-integrations-api.json</t>
  </si>
  <si>
    <t>定时通知</t>
  </si>
  <si>
    <t>通过注入模块周期性触发特定事件，并利用自定义节点计算并发送与智能灯光控制相关的通知信息。</t>
  </si>
  <si>
    <t>100.json</t>
  </si>
  <si>
    <t>https://github.com/ryanjohnsontv/node-red-contrib-inovelli-notification-calculator/blob/5550ec3f54d0ddb4a1e52716209f6e8b08de7ca8/examples/basic_scene.json</t>
  </si>
  <si>
    <t>RTI发送</t>
  </si>
  <si>
    <t>监听特定灯具和开关状态变化并通过TCP连接发送到指定端口41797。</t>
  </si>
  <si>
    <t>101.json</t>
  </si>
  <si>
    <t>mefranklin6/HomeAssistant_RTI_Remote</t>
  </si>
  <si>
    <t>https://github.com/mefranklin6/HomeAssistant_RTI_Remote/blob/6c0c2b9c5d680252a2af1e6b0c8af1dead80d1fe/flows.json</t>
  </si>
  <si>
    <t>设备筛选</t>
  </si>
  <si>
    <t>从Home Assistant设备注册表中获取特定型号（DW1000）的设备，并通过函数节点提取与指定MAC地址相关的距离测量数据。</t>
  </si>
  <si>
    <t>102.json</t>
  </si>
  <si>
    <t>jh247247/DW1000-fan-video</t>
  </si>
  <si>
    <t>https://github.com/jh247247/DW1000-fan-video/blob/3931a31a2710040f26ba6a009cefec3acfb10ecc/flows.json</t>
  </si>
  <si>
    <t>接收包含商品促销信息的JSON数据，通过Home Assistant服务器向指定移动应用客户端发送带图片和折扣详情的通知消息。</t>
  </si>
  <si>
    <t>103.json</t>
  </si>
  <si>
    <t>Nag94/Home-AssistantConfig</t>
  </si>
  <si>
    <t>https://github.com/Nag94/Home-AssistantConfig/blob/3fc9301c79e70d962babec1a1bb27ac977d10b33/node-red/flows.json</t>
  </si>
  <si>
    <t>电池PID预设</t>
  </si>
  <si>
    <t>监听服务器状态变化，当选择特定的电池PID预设时触发相应操作。该节点用于监控和响应用户对不同PID预设的选择事件，并依据选择执行后续逻辑处理。</t>
  </si>
  <si>
    <t>104.json</t>
  </si>
  <si>
    <t>gitcodebob/marstek-venus-rs485-node-red</t>
  </si>
  <si>
    <t>https://github.com/gitcodebob/marstek-venus-rs485-node-red/blob/4ff7fc6237b8d0d1d2e856363d5a2cd570222089/node-red/00%20presets-switch-flow.json</t>
  </si>
  <si>
    <t>门铃通知</t>
  </si>
  <si>
    <t>接收门铃主题消息并通过MQTT触发语音播报服务，提示有人按门铃。</t>
  </si>
  <si>
    <t>105.json</t>
  </si>
  <si>
    <t>Hurleyking/AI_Smart_PI_Doorbell</t>
  </si>
  <si>
    <t>https://github.com/Hurleyking/AI_Smart_PI_Doorbell/blob/6b787cef7c89982088d8d55ef819e5cfdc64799a/doorbell_pi/Node-red_and_ha_examples/node_red_doorbell_ring.json</t>
  </si>
  <si>
    <t>洗衣机状态监控</t>
  </si>
  <si>
    <t>监听特定传感器实体ID的服务器状态变化，输出当前状态信息并进行相应处理。</t>
  </si>
  <si>
    <t>106.json</t>
  </si>
  <si>
    <t>https://github.com/domoticafacilconjota/capitulos/blob/73c53ca668499d57dda168ba6b9ab320cb10643d/temporada_2/S02E24/lavadora_telegram_actualizado.json</t>
  </si>
  <si>
    <t>冰箱检测</t>
  </si>
  <si>
    <t>监控冰箱传感器状态变化，用于检测冰箱的工作情况和异常报警。</t>
  </si>
  <si>
    <t>107.json</t>
  </si>
  <si>
    <t>https://github.com/poweredgenl/smarthome/blob/5e6900132d8dc4f28bdcc20de6d885a3a13166d2/housenotifications/fridgeopen.json</t>
  </si>
  <si>
    <t>同步团队状态</t>
  </si>
  <si>
    <t>通过HTTP POST请求接收数据并更新Home Assistant中的Teams状态信息，实现Teams与Home Assistant的状态同步。</t>
  </si>
  <si>
    <t>108.json</t>
  </si>
  <si>
    <t>skylord123/teams-status-monitor</t>
  </si>
  <si>
    <t>https://github.com/skylord123/teams-status-monitor/blob/d8b2970c10fc14445231c8816c80271ec4f44c50/node-red-example/flow.json</t>
  </si>
  <si>
    <t>系统更新通知</t>
  </si>
  <si>
    <t>监控Home Assistant Supervisor的更新状态并在可以进行更新时发出通知。</t>
  </si>
  <si>
    <t>109.json</t>
  </si>
  <si>
    <t>GingerCam/Home-Assistant-Config</t>
  </si>
  <si>
    <t>https://github.com/GingerCam/Home-Assistant-Config/blob/1f09650751035ed880319c41a803a31322f6860a/node-red/flows/System/flows.json</t>
  </si>
  <si>
    <t>天气订阅</t>
  </si>
  <si>
    <t>通过Home Assistant服务器订阅和配置实体以获取天气预报信息，使用友好名称进行实体选择。</t>
  </si>
  <si>
    <t>110.json</t>
  </si>
  <si>
    <t>loopade/h_docker</t>
  </si>
  <si>
    <t>https://github.com/loopade/h_docker/blob/026dc4cc5ea5cded3c91198cd8160db702f45fe6/nodered/flows.json</t>
  </si>
  <si>
    <t>水泵日志</t>
  </si>
  <si>
    <t>从家庭自动化服务器获取潜水泵开关状态并分发至不同处理流程。</t>
  </si>
  <si>
    <t>111.json</t>
  </si>
  <si>
    <t>brianjz/Sump-Pump-Sync</t>
  </si>
  <si>
    <t>https://github.com/brianjz/Sump-Pump-Sync/blob/ee27a27ee52f92c9999e7afc47b45ca47aa84ac0/node-red.json</t>
  </si>
  <si>
    <t>通过Node-RED服务器组件连接至Home Assistant系统，配置安全认证、布尔逻辑解析规则以及缓存设置等参数，实现与智能家居设备的交互和状态监控。</t>
  </si>
  <si>
    <t>112.json</t>
  </si>
  <si>
    <t>patofoto/Cielo_NodeRed</t>
  </si>
  <si>
    <t>https://github.com/patofoto/Cielo_NodeRed/blob/50d0d7fc68e331f048150c7b02686e4726906a5c/flows.json</t>
  </si>
  <si>
    <t>HA流控制</t>
  </si>
  <si>
    <t>从Home Assistant输入布尔值载荷切换流程，实现节点间动态流量控制。该子流程用于接收来自Home Assistant的输入布尔信号，并根据信号状态决定是否启用或禁用指定的工作流程路径。</t>
  </si>
  <si>
    <t>113.json</t>
  </si>
  <si>
    <t>racksync/node-red-contrib-hass-flow</t>
  </si>
  <si>
    <t>https://github.com/racksync/node-red-contrib-hass-flow/blob/b05981b5a268040d35454320cd65d1195f233413/flows/flow-toggle.json</t>
  </si>
  <si>
    <t>定时器状态监控</t>
  </si>
  <si>
    <t>监听输入布尔值定时器的状态变化，当状态为“on”时停止进一步处理，并根据设定输出相关信息。该节点仅在状态发生改变时产生输出，不考虑之前的无效或未知状态。</t>
  </si>
  <si>
    <t>114.json</t>
  </si>
  <si>
    <t>https://github.com/willbob8/willsurridgetech/blob/47257a52d0d6b5306ff353a2f43fbd269bb93dda/timer_automation.json</t>
  </si>
  <si>
    <t>自行车充电监控</t>
  </si>
  <si>
    <t>根据电池电量状态切换不同的逻辑分支，监控并响应自行车充电过程中的功率变化。</t>
  </si>
  <si>
    <t>115.json</t>
  </si>
  <si>
    <t>https://github.com/poweredgenl/smarthome/blob/5e6900132d8dc4f28bdcc20de6d885a3a13166d2/housenotifications/bicycle_charging.json</t>
  </si>
  <si>
    <t>行程时间计算</t>
  </si>
  <si>
    <t>此节点组负责触发和处理与行程时间相关的数据，通过特定的服务器版本进行状态管理。</t>
  </si>
  <si>
    <t>116.json</t>
  </si>
  <si>
    <t>https://github.com/poweredgenl/smarthome/blob/5e6900132d8dc4f28bdcc20de6d885a3a13166d2/housenotifications/traveltime.json</t>
  </si>
  <si>
    <t>电视状态监控</t>
  </si>
  <si>
    <t>监听Home Assistant中Vizio智能投影视音频设备的状态变化，并根据其开关状态输出不同的信号。</t>
  </si>
  <si>
    <t>117.json</t>
  </si>
  <si>
    <t>vforge/home-assistant-config</t>
  </si>
  <si>
    <t>https://github.com/vforge/home-assistant-config/blob/b1be22eae35d8bbb87423e9bba832349e26899f6/node-red/flows.json</t>
  </si>
  <si>
    <t>时间监控</t>
  </si>
  <si>
    <t>监测特定输入数值的滑块变化，输出剩余时间状态信息，不初始输出且仅在状态改变时发送信号。</t>
  </si>
  <si>
    <t>118.json</t>
  </si>
  <si>
    <t>https://github.com/domoticafacilconjota/capitulos/blob/73c53ca668499d57dda168ba6b9ab320cb10643d/temporada_2/S02E22/cuenta_atras_slider.json</t>
  </si>
  <si>
    <t>MQTT influx</t>
  </si>
  <si>
    <t>配置从MQTT接收数据并存储到InfluxDB的流程，实现自动化数据收集与分析。</t>
  </si>
  <si>
    <t>119.json</t>
  </si>
  <si>
    <t>vrohak/smart-pool</t>
  </si>
  <si>
    <t>https://github.com/vrohak/smart-pool/blob/c45c66c06d35df914dcc64573e2043f5c4f363ad/platform/nodered/data/flows.json</t>
  </si>
  <si>
    <t>天气数据获取</t>
  </si>
  <si>
    <t>根据输入的经纬度信息，读取指定地点的气象观测站和其他相关数据，并输出可用于预测或观测的数据。</t>
  </si>
  <si>
    <t>120.json</t>
  </si>
  <si>
    <t>jhotmann/node-red-subflows</t>
  </si>
  <si>
    <t>https://github.com/jhotmann/node-red-subflows/blob/435b374ccfcd9724554165ad3a720b898ebf5b7e/subflows/WeatherGovLocation.json</t>
  </si>
  <si>
    <t>Telegram命令处理</t>
  </si>
  <si>
    <t>接收并解析/prueba命令，设置全局变量保存消息ID，并配置键盘选项以供后续操作。</t>
  </si>
  <si>
    <t>121.json</t>
  </si>
  <si>
    <t>https://github.com/domoticafacilconjota/capitulos/blob/73c53ca668499d57dda168ba6b9ab320cb10643d/temporada_2/S02E43/flow.json</t>
  </si>
  <si>
    <t>限流处理</t>
  </si>
  <si>
    <t>使用限流器限制每秒请求次数，避免web2com接口过载。</t>
  </si>
  <si>
    <t>122.json</t>
  </si>
  <si>
    <t>ahackl/HA_cc_web2com</t>
  </si>
  <si>
    <t>https://github.com/ahackl/HA_cc_web2com/blob/9c6ea58c46b0597637f89442fafcb59da53f6129/HA_web2com.json</t>
  </si>
  <si>
    <t>接收Telegram命令并询问用户指定要开启的设备。</t>
  </si>
  <si>
    <t>123.json</t>
  </si>
  <si>
    <t>ki321g/AMS</t>
  </si>
  <si>
    <t>https://github.com/ki321g/AMS/blob/ea804cf57bea9e901d1126716ff4fde6823702ae/Documentation/NodeRed/telegram.json</t>
  </si>
  <si>
    <t>构建请求</t>
  </si>
  <si>
    <t>根据事件ID和快照URL，设置包含身份验证令牌的HTTP头部，并指定GET方法以准备后续的数据获取请求。</t>
  </si>
  <si>
    <t>124.json</t>
  </si>
  <si>
    <t>Rob-Negrete/ha-addons</t>
  </si>
  <si>
    <t>https://github.com/Rob-Negrete/ha-addons/blob/66e82742408a2b19c56d991720f44874727e05b0/face-rekon/nr-recognize-flow.json</t>
  </si>
  <si>
    <t>事件接收与处理</t>
  </si>
  <si>
    <t>接收来自xiaoai_hook的POST请求，转发至多个节点进行进一步处理，并设置GET请求接口用于获取特定关键词内容。</t>
  </si>
  <si>
    <t>125.json</t>
  </si>
  <si>
    <t>scp10011/xiaoai_hook</t>
  </si>
  <si>
    <t>https://github.com/scp10011/xiaoai_hook/blob/ba1d795eceb1277336133c8b113b73af33a1370a/node-red-demo.json</t>
  </si>
  <si>
    <t>监听特定实体ID的input_select.themes状态变化，并在状态改变时输出相关信息至指定节点。</t>
  </si>
  <si>
    <t>126.json</t>
  </si>
  <si>
    <t>rogodra/zeno-themes</t>
  </si>
  <si>
    <t>https://github.com/rogodra/zeno-themes/blob/5f5f62e7f822ed8929ca0ce3531f848610b5c401/docs/seletor_theme_nodered.json</t>
  </si>
  <si>
    <t>疫情统计</t>
  </si>
  <si>
    <t>读取并处理美国新冠病毒确诊病例的当前状态，通过多个规则节点筛选和转换数据，最终输出相关疫情统计数据。</t>
  </si>
  <si>
    <t>127.json</t>
  </si>
  <si>
    <t>nullstalgia/Corona_ePaper_8266</t>
  </si>
  <si>
    <t>https://github.com/nullstalgia/Corona_ePaper_8266/blob/c440212a0563e147518d1d11534505faf49cabf8/node/node-red_corona_flows.json</t>
  </si>
  <si>
    <t>门铃监控</t>
  </si>
  <si>
    <t>订阅门铃实时主题，根据消息内容转发至不同节点进行处理。</t>
  </si>
  <si>
    <t>128.json</t>
  </si>
  <si>
    <t>https://github.com/Hurleyking/AI_Smart_PI_Doorbell/blob/6b787cef7c89982088d8d55ef819e5cfdc64799a/doorbell_pi/Node-red_and_ha_examples/node_red_doorbell_live.json</t>
  </si>
  <si>
    <t>MQTT配置</t>
  </si>
  <si>
    <t>配置本地主机的MQTT代理，监听默认端口1883，启用自动连接，设置心跳时间为60秒。</t>
  </si>
  <si>
    <t>129.json</t>
  </si>
  <si>
    <t>patrickamsler/nodered-home-server</t>
  </si>
  <si>
    <t>https://github.com/patrickamsler/nodered-home-server/blob/4b3c765d43c551ae9f47a942e4722fb90e58082c/flow.json</t>
  </si>
  <si>
    <t>运动感应照明</t>
  </si>
  <si>
    <t>根据设定的模式和区域触发相应的照明设备开关，支持多种场景下的自动化控制。</t>
  </si>
  <si>
    <t>130.json</t>
  </si>
  <si>
    <t>David-SKB/home-assistant-node-red</t>
  </si>
  <si>
    <t>https://github.com/David-SKB/home-assistant-node-red/blob/eb79225990963b8f0da06bbb4e82bc8e0e3b6266/lib/flows/Motion%20Lighting.json</t>
  </si>
  <si>
    <t>灯光控制</t>
  </si>
  <si>
    <t>调用API接口服务将指定的灯具设置为全亮白色，亮度255，并带有6秒过渡效果。</t>
  </si>
  <si>
    <t>131.json</t>
  </si>
  <si>
    <t>https://github.com/willbob8/willsurridgetech/blob/47257a52d0d6b5306ff353a2f43fbd269bb93dda/HueLabs.json</t>
  </si>
  <si>
    <t>每15分钟执行一次自动化任务，用于触发特定时间的推送通知或其他操作。</t>
  </si>
  <si>
    <t>132.json</t>
  </si>
  <si>
    <t>https://github.com/mystcb/home-automation/blob/db8fd9ce4a1b3c0fd1ec35656b673ed8eb6379a4/node-red-flows/automations.json</t>
  </si>
  <si>
    <t>立方体动作</t>
  </si>
  <si>
    <t>监听传感器sensor_cubo_action的状态变化，并在状态改变时输出信息，不考虑初始状态输出。</t>
  </si>
  <si>
    <t>133.json</t>
  </si>
  <si>
    <t>https://github.com/domoticafacilconjota/capitulos/blob/73c53ca668499d57dda168ba6b9ab320cb10643d/temporada_3/S03E03/mi_flow.json</t>
  </si>
  <si>
    <t>摄像头隐私控制</t>
  </si>
  <si>
    <t>监听特定输入布尔值实体状态变化，当该实体变为“on”时停止运行，并输出两个信号。配置不暴露到HomeAssistant且初始时不产生输出。</t>
  </si>
  <si>
    <t>134.json</t>
  </si>
  <si>
    <t>https://github.com/domoticafacilconjota/capitulos/blob/73c53ca668499d57dda168ba6b9ab320cb10643d/temporada_3/S03E19/privacidad.json</t>
  </si>
  <si>
    <t>颜色选择</t>
  </si>
  <si>
    <t>监听输入文本组件的选定颜色状态变化，并在状态改变时输出相关信息。</t>
  </si>
  <si>
    <t>135.json</t>
  </si>
  <si>
    <t>olddawgpowers/HA-CSS-Color-Selector</t>
  </si>
  <si>
    <t>https://github.com/olddawgpowers/HA-CSS-Color-Selector/blob/dfd6447ce5263adb074c298eafecb4adef55fd55/flows.json</t>
  </si>
  <si>
    <t>点击计数</t>
  </si>
  <si>
    <t>监听特定传感器实体的精确状态变化并仅在状态改变时输出数据，用于追踪指定位置的按钮点击事件。</t>
  </si>
  <si>
    <t>136.json</t>
  </si>
  <si>
    <t>https://github.com/domoticafacilconjota/capitulos/blob/73c53ca668499d57dda168ba6b9ab320cb10643d/temporada_2/S02E20/clic_y_brillo.json</t>
  </si>
  <si>
    <t>电池警报</t>
  </si>
  <si>
    <t>当控制中心的电池电量低于30时触发延迟消息通知，持续监控并发出警报。</t>
  </si>
  <si>
    <t>137.json</t>
  </si>
  <si>
    <t>Squale76/home-assistant-configuration</t>
  </si>
  <si>
    <t>https://github.com/Squale76/home-assistant-configuration/blob/d99db2ce56d91df41efe1bf0441eaee6a733f5bd/config/node-red/flows.json</t>
  </si>
  <si>
    <t>房间控制</t>
  </si>
  <si>
    <t>定义并管理家庭各个房间的自动化流程，包括客厅、走廊、两个卧室和厨房储藏室等区域。</t>
  </si>
  <si>
    <t>138.json</t>
  </si>
  <si>
    <t>jackfrancisdalton/Node-Red-Home-Automations</t>
  </si>
  <si>
    <t>https://github.com/jackfrancisdalton/Node-Red-Home-Automations/blob/84b063afa3280fcbda560783d9600096c3f2fce1/flows.json</t>
  </si>
  <si>
    <t>任务通知</t>
  </si>
  <si>
    <t>周期性发起HTTP请求获取Vikunja中的任务数据，每14分钟执行一次。</t>
  </si>
  <si>
    <t>139.json</t>
  </si>
  <si>
    <t>greaterthanlessthan/vikunja-to-ntfy</t>
  </si>
  <si>
    <t>https://github.com/greaterthanlessthan/vikunja-to-ntfy/blob/75c1497a390944c668aa4706a867e449c8878172/flows.json</t>
  </si>
  <si>
    <t>烛光控制</t>
  </si>
  <si>
    <t>当蜡烛滑块数值变化时，根据输入值的大小决定灯具开启或关闭，并设置相应的亮度百分比和闪烁效果。</t>
  </si>
  <si>
    <t>140.json</t>
  </si>
  <si>
    <t>3ative/Smart-Candles</t>
  </si>
  <si>
    <t>https://github.com/3ative/Smart-Candles/blob/356ff32bf0339a22945ba4585803e37ceb6b6db0/Node_Red_Flow.json</t>
  </si>
  <si>
    <t>垃圾分类提醒</t>
  </si>
  <si>
    <t>根据日期判断是否为塑料垃圾桶回收日，并在次日通过消息模板发送“Tomorrow plastic bin day”提示信息。</t>
  </si>
  <si>
    <t>141.json</t>
  </si>
  <si>
    <t>https://github.com/vdbrink/vdbrink.github.io/blob/4b8afea0793506836b24ac5ad81313b12d7211cc/projects/images_bin_day/bin_day_flow1.json</t>
  </si>
  <si>
    <t>晚餐场景</t>
  </si>
  <si>
    <t>检测输入布尔值状态变化以触发特定操作，当指定的dinner_scene布尔值状态变为“on”时停止流程。</t>
  </si>
  <si>
    <t>142.json</t>
  </si>
  <si>
    <t>https://github.com/willbob8/willsurridgetech/blob/47257a52d0d6b5306ff353a2f43fbd269bb93dda/Scenes/Node-Red.json</t>
  </si>
  <si>
    <t>定时切换灯光</t>
  </si>
  <si>
    <t>每五分钟触发一次，经过随机延迟后切换指定灯光状态。</t>
  </si>
  <si>
    <t>143.json</t>
  </si>
  <si>
    <t>https://github.com/migacode/home-assistant/blob/5b4a7c4f3f819f0c1951564fb957d9a9223f2353/spooky/code/spooky_nodered_flow_1.00_kompakt.json</t>
  </si>
  <si>
    <t>随机延迟灯光</t>
  </si>
  <si>
    <t>每隔五分钟从“Lights”组中随机选择一个灯具，并引入随机延迟时间（0至299秒）后执行操作。</t>
  </si>
  <si>
    <t>144.json</t>
  </si>
  <si>
    <t>https://github.com/migacode/home-assistant/blob/5b4a7c4f3f819f0c1951564fb957d9a9223f2353/spooky/code/spooky_nodered_flow_1.00_komplex.json</t>
  </si>
  <si>
    <t>人体感应</t>
  </si>
  <si>
    <t>当小阳台人体传感器检测到有人或无人时，触发相应节点执行后续操作。</t>
  </si>
  <si>
    <t>145.json</t>
  </si>
  <si>
    <t>https://github.com/kongoyo/HomeAssist/blob/acbaeaf67504dea4d8ce688a29229395432a6cff/%E5%B0%8F%E9%99%BD%E5%8F%B0%E6%99%BE%E8%A1%A3%E6%9E%B6%E7%87%88%202%20func_node_20250829.json</t>
  </si>
  <si>
    <t>创建HA助手</t>
  </si>
  <si>
    <t>根据服务器名称和配置的助手列表，处理Home Assistant中的实体状态信息。若缺少必要参数或服务器无效，则报错退出。</t>
  </si>
  <si>
    <t>146.json</t>
  </si>
  <si>
    <t>zachowj/node-red-contrib-home-assistant-websocket</t>
  </si>
  <si>
    <t>https://github.com/zachowj/node-red-contrib-home-assistant-websocket/blob/29e3cf5770f7dd34c9b389aad7fa8baff27009e0/examples/cookbook/starting-flow-after-home-assistant-restart/example_01.json</t>
  </si>
  <si>
    <t>智能家居数据处理</t>
  </si>
  <si>
    <t>从IBM IoT接收环境传感器数据，提取温度和湿度信息并存储到全局变量中，以便后续的调试与分析。</t>
  </si>
  <si>
    <t>147.json</t>
  </si>
  <si>
    <t>smartinternz02/SI-GuidedProject-2983-1623403829</t>
  </si>
  <si>
    <t>https://github.com/smartinternz02/SI-GuidedProject-2983-1623403829/blob/27a8c875985785038b0b0005a18503c80a470214/flows.json</t>
  </si>
  <si>
    <t>Telegram机器人消息处理</t>
  </si>
  <si>
    <t>接收Telegram机器人消息，设置HTTP请求参数并发送GET请求获取指定URL资源。</t>
  </si>
  <si>
    <t>148.json</t>
  </si>
  <si>
    <t>https://github.com/domoticafacilconjota/capitulos/blob/73c53ca668499d57dda168ba6b9ab320cb10643d/temporada_3/S03E19/captura.json</t>
  </si>
  <si>
    <t>RSS新闻聚合</t>
  </si>
  <si>
    <t>定时抓取并处理来自BBC不同频道的RSS新闻源，包括世界、科技和健康等板块。</t>
  </si>
  <si>
    <t>149.json</t>
  </si>
  <si>
    <t>rdeangel/esp8266_max7219_rda_msg_board</t>
  </si>
  <si>
    <t>https://github.com/rdeangel/esp8266_max7219_rda_msg_board/blob/598e0ee45cdaad7807de64b5b7c0784345a095d5/node_red_flow.json</t>
  </si>
  <si>
    <t>deCONZ事件监听</t>
  </si>
  <si>
    <t>用于监听来自deCONZ服务器的特定事件，并将接收到的事件信息传递给后续处理节点，根据设备ID进行进一步逻辑判断。</t>
  </si>
  <si>
    <t>150.json</t>
  </si>
  <si>
    <t>https://github.com/mystcb/home-automation/blob/db8fd9ce4a1b3c0fd1ec35656b673ed8eb6379a4/node-red-flows/deconz.json</t>
  </si>
  <si>
    <t>设备数据插入</t>
  </si>
  <si>
    <t>接收设备信息并生成SQL插入语句，当主键冲突时更新现有记录的mac地址字段。通过MySQL节点执行数据库操作并将结果输出到调试面板。</t>
  </si>
  <si>
    <t>151.json</t>
  </si>
  <si>
    <t>SantiagoRR2004/APS-WiFiSniffer</t>
  </si>
  <si>
    <t>https://github.com/SantiagoRR2004/APS-WiFiSniffer/blob/374aacb33f25c43345bf14e944d7c18a2ed5483c/node-red.json</t>
  </si>
  <si>
    <t>卧室暖气控制</t>
  </si>
  <si>
    <t>用于监控和管理主卧房间的暖气设备状态，包括窗户开关等触发条件。</t>
  </si>
  <si>
    <t>152.json</t>
  </si>
  <si>
    <t>https://github.com/poweredgenl/smarthome/blob/5e6900132d8dc4f28bdcc20de6d885a3a13166d2/automations/radiatoropenwindow.json</t>
  </si>
  <si>
    <t>土壤湿度监测</t>
  </si>
  <si>
    <t>读取MQTT传感器数据，过滤特定土壤传感器的数据并比较其湿度阈值，确保湿度值有效。</t>
  </si>
  <si>
    <t>153.json</t>
  </si>
  <si>
    <t>KarlaSmuk/SmartLeaf</t>
  </si>
  <si>
    <t>https://github.com/KarlaSmuk/SmartLeaf/blob/c86116ac0fdc64f0e802d2dd9618d21999947fe5/IoT_platforma/flows.json</t>
  </si>
  <si>
    <t>人数统计</t>
  </si>
  <si>
    <t>通过MQTT接收YOLO模型的人数统计数据，并根据接收到的数据调用Home Assistant的API来控制灯光开关。</t>
  </si>
  <si>
    <t>154.json</t>
  </si>
  <si>
    <t>PiotrDeda/yolo-mqtt-project</t>
  </si>
  <si>
    <t>https://github.com/PiotrDeda/yolo-mqtt-project/blob/03420778c3d3497255fdbfba373c9d11ee66e268/flows.json</t>
  </si>
  <si>
    <t>读取并处理Marstek M1 AC功率和电量状态数据，用于实时监测电池系统性能。</t>
  </si>
  <si>
    <t>155.json</t>
  </si>
  <si>
    <t>fonske/Modbus-configurations-esphome</t>
  </si>
  <si>
    <t>https://github.com/fonske/Modbus-configurations-esphome/blob/18e210d58a90c213c34dca8b4ce8eeb77235261f/MarstekVenus/nodered_marstek.json</t>
  </si>
  <si>
    <t>猫咪检测</t>
  </si>
  <si>
    <t>触发器监测花园中是否存在猫的运动传感器状态变化，用于判断是否有猫进入或离开花园区域。</t>
  </si>
  <si>
    <t>156.json</t>
  </si>
  <si>
    <t>https://github.com/poweredgenl/smarthome/blob/5e6900132d8dc4f28bdcc20de6d885a3a13166d2/housenotifications/catinthegarden.json</t>
  </si>
  <si>
    <t>猫砂清理通知</t>
  </si>
  <si>
    <t>生成一条包含提示信息“Limpia el arenero!”的IFTTT推送通知，用于提醒用户清理猫砂盆。</t>
  </si>
  <si>
    <t>157.json</t>
  </si>
  <si>
    <t>https://github.com/julietsvq/HomeAssistant-NodeRed/blob/35620ca651bdbc280a3ddfbdc88e2ebafc75eedb/cat%20litter%20flow.json</t>
  </si>
  <si>
    <t>人员定位</t>
  </si>
  <si>
    <t>此流程用于查询和追踪特定区域内人员的位置信息，通过集成多种传感器数据实现精准定位与监控。</t>
  </si>
  <si>
    <t>158.json</t>
  </si>
  <si>
    <t>https://github.com/poweredgenl/smarthome/blob/5e6900132d8dc4f28bdcc20de6d885a3a13166d2/housenotifications/whereiswho.json</t>
  </si>
  <si>
    <t>监听特定实体ID的变更事件，当指定的主题选择发生变化时触发相应操作。</t>
  </si>
  <si>
    <t>159.json</t>
  </si>
  <si>
    <t>ricardoquecria/caule-themes-pack-1</t>
  </si>
  <si>
    <t>https://github.com/ricardoquecria/caule-themes-pack-1/blob/0ec8a4b7acf63d8618bcf2fdd968d6256e998acb/src/seletor_theme_nodered.json</t>
  </si>
  <si>
    <t>电力状态读取</t>
  </si>
  <si>
    <t>从指定服务器读取Kamstrup主动功率进口传感器的状态信息，并将其以消息形式输出。</t>
  </si>
  <si>
    <t>160.json</t>
  </si>
  <si>
    <t>torsteinelv/NodeRed-Excess-charging-flow</t>
  </si>
  <si>
    <t>https://github.com/torsteinelv/NodeRed-Excess-charging-flow/blob/bca3731e6413ea954f5066d2a7d3a6b516dd51f4/ev_kapasitetsledd.json</t>
  </si>
  <si>
    <t>数据注入</t>
  </si>
  <si>
    <t>定时触发数据注入节点，生成日期格式的载荷并通过指定主题发送消息给下一个处理节点。</t>
  </si>
  <si>
    <t>161.json</t>
  </si>
  <si>
    <t>Andorrs/ha-backup</t>
  </si>
  <si>
    <t>https://github.com/Andorrs/ha-backup/blob/53d2b76a9ba69c3488b2f1759875352649877ccb/node-red/flows.json</t>
  </si>
  <si>
    <t>定时检查</t>
  </si>
  <si>
    <t>每到13点时触发，通过moment和homeassistant库检查当前时间与预设的计划重置时间和下一次读数日期进行比较，并更新计划重置时间为下一个有效读数日期。</t>
  </si>
  <si>
    <t>162.json</t>
  </si>
  <si>
    <t>marciogranzotto/celesc-node-red-HA</t>
  </si>
  <si>
    <t>https://github.com/marciogranzotto/celesc-node-red-HA/blob/22e8ea077d10f3587d3cabcc939359ecfe8aae75/reset_energy_flow.json</t>
  </si>
  <si>
    <t>NFC读取</t>
  </si>
  <si>
    <t>监听NFC标签扫描事件，并根据扫描的标签ID进行逻辑判断处理。</t>
  </si>
  <si>
    <t>163.json</t>
  </si>
  <si>
    <t>https://github.com/cjramseyer/nodered/blob/cb87b7cc23596ceb44777113192d5e99864e88e8/flowexports/nfc.json</t>
  </si>
  <si>
    <t>调用API服务打开指定灯具，并设置色温为2200K及亮度为128。</t>
  </si>
  <si>
    <t>164.json</t>
  </si>
  <si>
    <t>https://github.com/domoticafacilconjota/capitulos/blob/73c53ca668499d57dda168ba6b9ab320cb10643d/temporada_2/S02E23/opcion_1.json</t>
  </si>
  <si>
    <t>TCP报警接收</t>
  </si>
  <si>
    <t>通过TCP端口6789监听并接收特定格式的报警信息，根据接收到的内容进行不同的逻辑处理。</t>
  </si>
  <si>
    <t>165.json</t>
  </si>
  <si>
    <t>Farmer-Eds-Shed/NightWatch-seizure-alarm-Node-Red-API</t>
  </si>
  <si>
    <t>https://github.com/Farmer-Eds-Shed/NightWatch-seizure-alarm-Node-Red-API/blob/8193b45caacbc5011424edb497e9946fc0094a59/NightWatch.json</t>
  </si>
  <si>
    <t>死节点检测</t>
  </si>
  <si>
    <t>通过Home Assistant获取实体状态，检查Z-Wave设备是否处于死机状态并进行标记。</t>
  </si>
  <si>
    <t>166.json</t>
  </si>
  <si>
    <t>https://github.com/poweredgenl/smarthome/blob/5e6900132d8dc4f28bdcc20de6d885a3a13166d2/housenotifications/deadzwavenodes.json</t>
  </si>
  <si>
    <t>智能通风调节</t>
  </si>
  <si>
    <t>根据房间温度和供暖/制冷状态调整通风口位置，考虑设置参数与操作动作的完整性。</t>
  </si>
  <si>
    <t>167.json</t>
  </si>
  <si>
    <t>dmzimmerman/HomeAssistantKeenVentsEcobeeAutomation</t>
  </si>
  <si>
    <t>https://github.com/dmzimmerman/HomeAssistantKeenVentsEcobeeAutomation/blob/bb5c6849d41f0cddb0c56bcd8d235d36073e76d9/node-red-flow.json</t>
  </si>
  <si>
    <t>ZHA事件监听</t>
  </si>
  <si>
    <t>通过Home Assistant插件接收和处理来自Zigbee Home Automation的事件，并将相关信息输出到调试控制台。</t>
  </si>
  <si>
    <t>168.json</t>
  </si>
  <si>
    <t>choss/hassio-config</t>
  </si>
  <si>
    <t>https://github.com/choss/hassio-config/blob/186ee27bd67662024c04424e9647c0fa2907bef8/node-red/flows.json</t>
  </si>
  <si>
    <t>门锁控制</t>
  </si>
  <si>
    <t>定时触发日期类型载荷，通过函数节点配置多个Z-Wave设备的实体ID、产品型号及区域信息。</t>
  </si>
  <si>
    <t>169.json</t>
  </si>
  <si>
    <t>https://github.com/ryanjohnsontv/node-red-contrib-ha-inovelli-manager/blob/19bb69c5905d2a7f352b5dfb361b1dffbf1c45d9/examples/led_manager.json</t>
  </si>
  <si>
    <t>温控排风</t>
  </si>
  <si>
    <t>定时获取环境传感器数据和设定值，根据实际温度与湿度控制房间排气扇的工作状态。</t>
  </si>
  <si>
    <t>170.json</t>
  </si>
  <si>
    <t>https://github.com/njhughes-01/nodeRed-HA-GrowingFunctions/blob/7328310340cb5de75f245922ac857821c710153a/importFanSpeed.json</t>
  </si>
  <si>
    <t>Alexa转HomeAssistant</t>
  </si>
  <si>
    <t>将来自Alexa的指令转换为与Home Assistant服务相对应的动作，支持多种设备操作如开关、调光等。</t>
  </si>
  <si>
    <t>171.json</t>
  </si>
  <si>
    <t>csuermann/node-red-contrib-virtual-smart-home</t>
  </si>
  <si>
    <t>https://github.com/csuermann/node-red-contrib-virtual-smart-home/blob/bcb46c60f758f6ebbcc064bd780647798152dc16/examples/alexa_to_homeassistant.json</t>
  </si>
  <si>
    <t>经济7管理</t>
  </si>
  <si>
    <t>接收Sofar2mqtt状态消息，解析并格式化电池运行状态和电量信息。</t>
  </si>
  <si>
    <t>172.json</t>
  </si>
  <si>
    <t>dxoverdy/Integrating-Sofar2mqtt-with-Home-Assistant</t>
  </si>
  <si>
    <t>https://github.com/dxoverdy/Integrating-Sofar2mqtt-with-Home-Assistant/blob/1ebac464d9555a2427cf3273b8ccd80ad772d693/Integrating%20Sofar2mqtt%20with%20Home%20Assistant/Economy7Management.json</t>
  </si>
  <si>
    <t>蓝牙发现</t>
  </si>
  <si>
    <t>蓝牙设备发现和集成，采用数据库驱动架构，支持大规模部署及高效管理。</t>
  </si>
  <si>
    <t>173.json</t>
  </si>
  <si>
    <t>https://github.com/The-CosmicX/Node-Development/blob/84dc30fc33a59068de0619d7915bb7bbd8c8f44f/flows%20(2).json</t>
  </si>
  <si>
    <t>假期模式检测</t>
  </si>
  <si>
    <t>每晚17点至22点每隔十分钟触发，检查并获取当前系统是否处于假期模式状态。</t>
  </si>
  <si>
    <t>174.json</t>
  </si>
  <si>
    <t>Tontonjo/homeassistant</t>
  </si>
  <si>
    <t>https://github.com/Tontonjo/homeassistant/blob/cd7fcf8aee70f612911f3b7e2d723c175fc0bf86/node-red/presence_simulation.json</t>
  </si>
  <si>
    <t>HomeAssistant转MQTT</t>
  </si>
  <si>
    <t>处理来自Home Assistant的事件消息，验证并解析实体ID生成相应的MQTT主题，并根据设备属性确定发送的数据指标名称。</t>
  </si>
  <si>
    <t>175.json</t>
  </si>
  <si>
    <t>LiveMike78/hass2pi</t>
  </si>
  <si>
    <t>https://github.com/LiveMike78/hass2pi/blob/ad3db626ed418145821eb90ea90c2ae296b0124d/Node-RED%20-%20hass2pi%20-%20function.json</t>
  </si>
  <si>
    <t>该模块用于管理和控制不同场景下的灯光开关状态，通过节点配置实现自动化和手动操作。</t>
  </si>
  <si>
    <t>176.json</t>
  </si>
  <si>
    <t>LukeChannings/node-red-config</t>
  </si>
  <si>
    <t>https://github.com/LukeChannings/node-red-config/blob/536c0fd42e6b2c699288a77f99c376763422d84d/flow.json</t>
  </si>
  <si>
    <t>水表读取</t>
  </si>
  <si>
    <t>定时注入API获取当前水表数值，并将其值作为消息属性传输给下一个节点。</t>
  </si>
  <si>
    <t>177.json</t>
  </si>
  <si>
    <t>https://github.com/migacode/home-assistant/blob/5b4a7c4f3f819f0c1951564fb957d9a9223f2353/leckdet/code/leckdet_nodered_flow_1.10.json</t>
  </si>
  <si>
    <t>厨房感应</t>
  </si>
  <si>
    <t>检测厨房多传感器运动感应器的状态变化，当感应到有人时触发相应动作。</t>
  </si>
  <si>
    <t>178.json</t>
  </si>
  <si>
    <t>https://github.com/cjramseyer/nodered/blob/cb87b7cc23596ceb44777113192d5e99864e88e8/flowexports/motionlighting.json</t>
  </si>
  <si>
    <t>定时祈祷提醒</t>
  </si>
  <si>
    <t>根据设定的时间和日期，生成并发送每日五次伊斯兰祈祷时间的布尔值信号。</t>
  </si>
  <si>
    <t>179.json</t>
  </si>
  <si>
    <t>https://github.com/islamic-home-automation/home-assistant-node-red/blob/f6aae3ba3fd5152e7162e701bfb28642d0f151ae/adhan-and-dua/flow.json</t>
  </si>
  <si>
    <t>太阳能数据收集</t>
  </si>
  <si>
    <t>每分钟从家庭自动化系统获取九个与太阳能相关的实体的数据，生成包含电池充电状态、电网和房屋电力流向等信息的JSON对象。</t>
  </si>
  <si>
    <t>180.json</t>
  </si>
  <si>
    <t>rwbl/Home-Assistant-Workbook-Experiments</t>
  </si>
  <si>
    <t>https://github.com/rwbl/Home-Assistant-Workbook-Experiments/blob/fb8bbe47ae709074daa4c44d5f8b211ee1ffc5c0/MicroPython/22-Hawe_SolarInfo_OLED/node-red-flow-solar_info_collector.json</t>
  </si>
  <si>
    <t>接收并响应/prueba命令，调试相关数据输出至控制台。</t>
  </si>
  <si>
    <t>181.json</t>
  </si>
  <si>
    <t>https://github.com/ccorderor/home-assistant-config/blob/5ed012c6a0df4d05b2e38eb58408cc49bfdb8942/youtube/telegrambot.json</t>
  </si>
  <si>
    <t>消息转换</t>
  </si>
  <si>
    <t>注入节点发送包含Hello World!的消息，通过变更节点将消息中的World!替换为Bhupend!,然后输出转换后的消息到调试节点进行记录。</t>
  </si>
  <si>
    <t>182.json</t>
  </si>
  <si>
    <t>bhupendpatil/Practice</t>
  </si>
  <si>
    <t>https://github.com/bhupendpatil/Practice/blob/3291657e62c7c2a88b359ce7569e7112c4089cf1/Node-RED/basics.json</t>
  </si>
  <si>
    <t>每小时触发一次请求获取当前和未来一天的电费信息，并将数据传递给处理模块。</t>
  </si>
  <si>
    <t>183.json</t>
  </si>
  <si>
    <t>https://github.com/ottopaulsen/node-red-contrib-power-saver/blob/18bbec7348fd1d3e8767048a0681c236b053eba9/examples/best-save-for-water-heater.json</t>
  </si>
  <si>
    <t>洗碗机状态</t>
  </si>
  <si>
    <t>监听洗碗机二进制传感器状态变化，当检测到洗碗机关闭时触发相应操作。</t>
  </si>
  <si>
    <t>184.json</t>
  </si>
  <si>
    <t>https://github.com/mystcb/home-automation/blob/db8fd9ce4a1b3c0fd1ec35656b673ed8eb6379a4/node-red-flows/utilities.json</t>
  </si>
  <si>
    <t>测试连接</t>
  </si>
  <si>
    <t>通过TCP请求模块向指定服务器发起连接，使用注入节点触发连接操作，并将响应数据进行调试输出。</t>
  </si>
  <si>
    <t>185.json</t>
  </si>
  <si>
    <t>fiLLLip/dbx-venu360</t>
  </si>
  <si>
    <t>https://github.com/fiLLLip/dbx-venu360/blob/094d576665451a95ad071697ce284cb5d08f1908/node-red-flow.json</t>
  </si>
  <si>
    <t>设置一个10分钟的定时器，当计时结束时查询车库门开关状态，并在特定条件下停止流程。</t>
  </si>
  <si>
    <t>186.json</t>
  </si>
  <si>
    <t>https://github.com/julietsvq/HomeAssistant-NodeRed/blob/35620ca651bdbc280a3ddfbdc88e2ebafc75eedb/notifications%20flow.json</t>
  </si>
  <si>
    <t>电池主控</t>
  </si>
  <si>
    <t>通过节点控制家庭电池系统的开关状态，实现对电池供电设备的集中管理。</t>
  </si>
  <si>
    <t>187.json</t>
  </si>
  <si>
    <t>https://github.com/gitcodebob/marstek-venus-rs485-node-red/blob/4ff7fc6237b8d0d1d2e856363d5a2cd570222089/node-red/00%20master-switch-flow.json</t>
  </si>
  <si>
    <t>停止通知</t>
  </si>
  <si>
    <t>通过HTTP POST请求向指定服务器发送带有身份验证令牌和实体ID的JSON数据，以停止对特定用户的打扰通知。</t>
  </si>
  <si>
    <t>188.json</t>
  </si>
  <si>
    <t>https://github.com/domoticafacilconjota/capitulos/blob/73c53ca668499d57dda168ba6b9ab320cb10643d/temporada_2/S02E27/ha_remoto_sencillo.json</t>
  </si>
  <si>
    <t>疫情数据</t>
  </si>
  <si>
    <t>通过HTTP请求获取澳大利亚各州的新冠疫情数据，筛选出维多利亚州的数据并发送到Home Assistant实体中。</t>
  </si>
  <si>
    <t>189.json</t>
  </si>
  <si>
    <t>bjeanes/ha-config</t>
  </si>
  <si>
    <t>https://github.com/bjeanes/ha-config/blob/7d22866d8cf3ff2dcd1e0a5c4fa15bb071b891dc/node-red/flows.json</t>
  </si>
  <si>
    <t>盐箱盖检测</t>
  </si>
  <si>
    <t>监听特定二进制传感器状态变化，当检测到盐箱盖开启时触发后续逻辑处理。</t>
  </si>
  <si>
    <t>190.json</t>
  </si>
  <si>
    <t>isaenkovpro/configs</t>
  </si>
  <si>
    <t>https://github.com/isaenkovpro/configs/blob/8620600c1d615a0717874cd8027fbd0db0a020c3/003%20Water%20Softener%20Salt%20Level/nodered_flow.json</t>
  </si>
  <si>
    <t>安全监控事件</t>
  </si>
  <si>
    <t>基于Node-Red的子流程，专注于从SecuritySpy（NVR）事件流中解析并输出安全相关事件信息。支持连接状态通知和自动重连机制。</t>
  </si>
  <si>
    <t>191.json</t>
  </si>
  <si>
    <t>luqman/node-red-security-spy</t>
  </si>
  <si>
    <t>https://github.com/luqman/node-red-security-spy/blob/bc149851d3bae670fb4f6dc3768589e6a715642a/ss-events.json</t>
  </si>
  <si>
    <t>日志记录</t>
  </si>
  <si>
    <t>读取配置主题并根据消息内容生成警告信息，用于调试目的。</t>
  </si>
  <si>
    <t>192.json</t>
  </si>
  <si>
    <t>MicheleMercuri/mickmmm</t>
  </si>
  <si>
    <t>https://github.com/MicheleMercuri/mickmmm/blob/e572dfc0f22f3881063c48b1606a484760550d49/Flow%20Daikin%20Altherma%20Nodered%20Smart%20Grid%20.json</t>
  </si>
  <si>
    <t>传感器映射</t>
  </si>
  <si>
    <t>解析MQTT消息中的主题，将传感器ID与全局变量中定义的映射关系匹配后添加到消息对象中以便后续处理。</t>
  </si>
  <si>
    <t>193.json</t>
  </si>
  <si>
    <t>Egyras/HeishaMon</t>
  </si>
  <si>
    <t>https://github.com/Egyras/HeishaMon/blob/cf5eaf31b48efa005601dfda899bf694ae17f5c6/Integrations/Domoticz/NodeRed/NodeRed-Domoticz.json</t>
  </si>
  <si>
    <t>界面配置</t>
  </si>
  <si>
    <t>设置UI界面的显示效果和布局，包括主题颜色、基础字体等属性。</t>
  </si>
  <si>
    <t>194.json</t>
  </si>
  <si>
    <t>AndyTheManVN/Node-red-led-control</t>
  </si>
  <si>
    <t>https://github.com/AndyTheManVN/Node-red-led-control/blob/585b029df12dd69bf06c95d87f1fce3062266720/flows.json</t>
  </si>
  <si>
    <t>插座控制</t>
  </si>
  <si>
    <t>接收来自zigbee2mqtt的Orcon电力插座消息，根据预设模式将消息payload更改为1或2，并转发到下一个节点进行处理。</t>
  </si>
  <si>
    <t>195.json</t>
  </si>
  <si>
    <t>https://github.com/vdbrink/vdbrink.github.io/blob/4b8afea0793506836b24ac5ad81313b12d7211cc/esphome/orcon_files/node-red_flow.json</t>
  </si>
  <si>
    <t>窗户状态检测</t>
  </si>
  <si>
    <t>该节点组用于监测并判断哪些窗户处于开启状态，并根据结果执行相应逻辑操作。</t>
  </si>
  <si>
    <t>196.json</t>
  </si>
  <si>
    <t>https://github.com/poweredgenl/smarthome/blob/5e6900132d8dc4f28bdcc20de6d885a3a13166d2/housenotifications/windowsopen.json</t>
  </si>
  <si>
    <t>生成键盘</t>
  </si>
  <si>
    <t>创建包含确认和取消按钮的Telegram消息回复键盘，并设置询问用户是否激活离家模式的内容。</t>
  </si>
  <si>
    <t>197.json</t>
  </si>
  <si>
    <t>https://github.com/domoticafacilconjota/capitulos/blob/73c53ca668499d57dda168ba6b9ab320cb10643d/temporada_3/S03E13/preguntar_al_salir.json</t>
  </si>
  <si>
    <t>接收IBM IoT设备事件，提取温度和湿度信息并存储到全局变量中，以便后续使用。</t>
  </si>
  <si>
    <t>198.json</t>
  </si>
  <si>
    <t>smartinternz02/SI-GuidedProject-2982-1623403800</t>
  </si>
  <si>
    <t>https://github.com/smartinternz02/SI-GuidedProject-2982-1623403800/blob/2bb75238707480c429e1f30db004b22e50d1aed1/flows.json</t>
  </si>
  <si>
    <t>每日填字编号</t>
  </si>
  <si>
    <t>根据设定的起始日期和编号计算当前日期对应的每日填字游戏编号，考虑从特定日期开始每天递增的规律。</t>
  </si>
  <si>
    <t>199.json</t>
  </si>
  <si>
    <t>alexanderhale/home-assistant</t>
  </si>
  <si>
    <t>https://github.com/alexanderhale/home-assistant/blob/8c4fe8549aceda437637579e3bd360809d348ebc/automations/daily_crossword/daily_crossword_flow.json</t>
  </si>
  <si>
    <t>疫情数据读取</t>
  </si>
  <si>
    <t>通过HTTP请求获取维多利亚州的新冠疫情病例数据，并提取特定区域的数据用于进一步处理。</t>
  </si>
  <si>
    <t>200.json</t>
  </si>
  <si>
    <t>MaxVRAM/HomeAssistant_Victoria-COVID-19</t>
  </si>
  <si>
    <t>https://github.com/MaxVRAM/HomeAssistant_Victoria-COVID-19/blob/5751cf4d54cdadf7fc67ff357208bfdea7cfba24/flow.json</t>
  </si>
  <si>
    <t>时间拆分</t>
  </si>
  <si>
    <t>接收包含小时和分钟的字符串，将其分割为两个消息分别携带小时和分钟数据并输出。</t>
  </si>
  <si>
    <t>201.json</t>
  </si>
  <si>
    <t>GMTrevis/Homeassistant-NodeRed-Systemair-VTR300</t>
  </si>
  <si>
    <t>https://github.com/GMTrevis/Homeassistant-NodeRed-Systemair-VTR300/blob/96746ae0496c7cd4ee9aa9723c470d2139a0d864/Nodered/glob_time.json</t>
  </si>
  <si>
    <t>ZWave设备初始化</t>
  </si>
  <si>
    <t>注入日期类型的载荷，用于触发函数节点操作ZWave网络中的特定设备和实体。配置了四个锁以及一个灯光控制的详细信息，包括设备编号、实体ID、产品类型及所在区域。</t>
  </si>
  <si>
    <t>202.json</t>
  </si>
  <si>
    <t>https://github.com/ryanjohnsontv/node-red-contrib-ha-inovelli-manager/blob/19bb69c5905d2a7f352b5dfb361b1dffbf1c45d9/examples/sync_led_brightness_with_smart_bulbs.json</t>
  </si>
  <si>
    <t>触发指令</t>
  </si>
  <si>
    <t>注入定时事件并发送内容为“Lock up the house for me.”的OpenAI用户消息。</t>
  </si>
  <si>
    <t>203.json</t>
  </si>
  <si>
    <t>montaque22/node-red-contrib-ai-intent</t>
  </si>
  <si>
    <t>https://github.com/montaque22/node-red-contrib-ai-intent/blob/ef5bb7f8294c5193db078dcb2b43447c2da2aaa0/examples/openai-call-registered-intent-example.json</t>
  </si>
  <si>
    <t>漏损检测</t>
  </si>
  <si>
    <t>读取并更新输入数位的当前计数值以实现漏损检测系统中第一个计数器的状态监控和数据存储。</t>
  </si>
  <si>
    <t>204.json</t>
  </si>
  <si>
    <t>https://github.com/migacode/home-assistant/blob/5b4a7c4f3f819f0c1951564fb957d9a9223f2353/leckdet/code/leckdet_nodered_flow_1.01.json</t>
  </si>
  <si>
    <t>场景保存</t>
  </si>
  <si>
    <t>调用API创建指定的家居场景并存储选定开关的状态。</t>
  </si>
  <si>
    <t>205.json</t>
  </si>
  <si>
    <t>sqisiii/smart-apartment</t>
  </si>
  <si>
    <t>https://github.com/sqisiii/smart-apartment/blob/9cecf4ce2ef3290268cf9ccde6d443aa62a1c664/automations/Node%20-%20RED/light-automation.json</t>
  </si>
  <si>
    <t>灯光亮度控制</t>
  </si>
  <si>
    <t>调用turn_on服务设置指定灯光组的亮度，通过输入消息中的payload字段传递具体的亮度值。</t>
  </si>
  <si>
    <t>206.json</t>
  </si>
  <si>
    <t>Zerk4112/Micropython-MQTT-HASS-Smart-Light-Dimmer</t>
  </si>
  <si>
    <t>https://github.com/Zerk4112/Micropython-MQTT-HASS-Smart-Light-Dimmer/blob/1f07d0d4da46cae4ad3473e09f0d0f8140ebe70e/node-red-flows/power.json</t>
  </si>
  <si>
    <t>定时发布</t>
  </si>
  <si>
    <t>根据设定的时间范围和日期条件，每隔24小时在特定时间段内触发事件。</t>
  </si>
  <si>
    <t>207.json</t>
  </si>
  <si>
    <t>https://github.com/domoticafacilconjota/capitulos/blob/73c53ca668499d57dda168ba6b9ab320cb10643d/temporada_2/S02E15/autoapagado_tras_corte_de_luz.json</t>
  </si>
  <si>
    <t>定时备份通知</t>
  </si>
  <si>
    <t>每早五点半触发，将数据转换为JavaScript对象，并通过Gotify发送系统备份相关通知。</t>
  </si>
  <si>
    <t>208.json</t>
  </si>
  <si>
    <t>Morenus77/SmartHome-Tricks</t>
  </si>
  <si>
    <t>https://github.com/Morenus77/SmartHome-Tricks/blob/c2727436656c1f020430448d386c55f29dabbd6a/Proxmox-Sinology%20backup%20sensor/Gotify_Backup_Notifications.json</t>
  </si>
  <si>
    <t>HA设备发现</t>
  </si>
  <si>
    <t>通过MQTT协议自动发现并配置Home Assistant中的设备，默认设置用于简化设备集成流程。</t>
  </si>
  <si>
    <t>209.json</t>
  </si>
  <si>
    <t>https://github.com/fucm/node-red/blob/013f835262a96d940b61607745fb0eab0fed4d5b/flow_ha-mqtt-discovery.json</t>
  </si>
  <si>
    <t>天气搜索位置设置</t>
  </si>
  <si>
    <t>创建一个用于刷新按钮的API调用服务，该服务在用户界面中通过按下按钮来触发天气搜索位置的更新操作。此节点属于名为“Weather Search Location Set”的组内，并且不包含任何子标签。</t>
  </si>
  <si>
    <t>210.json</t>
  </si>
  <si>
    <t>derekakessler/Home-Assistant-Custom-Weather-Cards</t>
  </si>
  <si>
    <t>https://github.com/derekakessler/Home-Assistant-Custom-Weather-Cards/blob/4ba2ba0eb5b60d9aee0267d4b573518a53a6320f/node-red-update-search-weather.json</t>
  </si>
  <si>
    <t>手动触发</t>
  </si>
  <si>
    <t>通过注入节点发送一个布尔值信号，用于手动触发后续流程或执行特定操作。</t>
  </si>
  <si>
    <t>211.json</t>
  </si>
  <si>
    <t>Neraud/home-server</t>
  </si>
  <si>
    <t>https://github.com/Neraud/home-server/blob/d4369565ed3e60847136ecae8455444986a97b92/apps/base/home-nodered/deploy/config/bootstrap/flows.json</t>
  </si>
  <si>
    <t>定时食谱</t>
  </si>
  <si>
    <t>每小时注入数据以获取未来七天的食谱，并将结果调试输出。</t>
  </si>
  <si>
    <t>212.json</t>
  </si>
  <si>
    <t>dykandDK/home-assistant-config</t>
  </si>
  <si>
    <t>https://github.com/dykandDK/home-assistant-config/blob/f2a8a830271791c9dbdbb0067aa936fa786e41fe/automations/node-RED/Mealie.json</t>
  </si>
  <si>
    <t>调用NodeRed服务接口，将指定灯具的色温设置为2200K并调整亮度至128，实现远程开启特定区域外部照明。</t>
  </si>
  <si>
    <t>213.json</t>
  </si>
  <si>
    <t>https://github.com/domoticafacilconjota/capitulos/blob/73c53ca668499d57dda168ba6b9ab320cb10643d/temporada_2/S02E23/opcion_2.json</t>
  </si>
  <si>
    <t>能源监控</t>
  </si>
  <si>
    <t>读取YouLess电表数据并展示原始信息，每30秒更新一次。</t>
  </si>
  <si>
    <t>214.json</t>
  </si>
  <si>
    <t>limwakra/node-red-contrib-youless-se</t>
  </si>
  <si>
    <t>https://github.com/limwakra/node-red-contrib-youless-se/blob/cd0eddf5b945de78ac83b8deaa45da8f4f994872/examples/flows.json</t>
  </si>
  <si>
    <t>当检测到人员时，通过Home Assistant发送Unifi Protect门铃通知。</t>
  </si>
  <si>
    <t>215.json</t>
  </si>
  <si>
    <t>mwinterstorm/catbot_red</t>
  </si>
  <si>
    <t>https://github.com/mwinterstorm/catbot_red/blob/00b1ef133b67ef8985ff74c2556b01644bff7728/flows/Home%20Assistant.json</t>
  </si>
  <si>
    <t>媒体监测</t>
  </si>
  <si>
    <t>检测家庭房间媒体播放器在15分钟内未处于播放状态时触发事件。</t>
  </si>
  <si>
    <t>216.json</t>
  </si>
  <si>
    <t>https://github.com/GingerCam/Home-Assistant-Config/blob/1f09650751035ed880319c41a803a31322f6860a/node-red/flows/Media_players/flows.json</t>
  </si>
  <si>
    <t>配置管理</t>
  </si>
  <si>
    <t>CatBot系统中用于管理和存储与夜行服务相关的基础URL及其他配置信息的模块。该组内含多个节点以实现灵活且可扩展的设置选项，确保数据安全及传输效率。</t>
  </si>
  <si>
    <t>217.json</t>
  </si>
  <si>
    <t>https://github.com/mwinterstorm/catbot_red/blob/00b1ef133b67ef8985ff74c2556b01644bff7728/flows/CatBot%20-%20Configuration.json</t>
  </si>
  <si>
    <t>定时读取室外温度传感器状态，并在发生变化时发送更新数据到指定URL。</t>
  </si>
  <si>
    <t>218.json</t>
  </si>
  <si>
    <t>ElektronikaDonBosco/Ekinect-Robots</t>
  </si>
  <si>
    <t>https://github.com/ElektronikaDonBosco/Ekinect-Robots/blob/ff48ca59a595ced38626aab9864e96c3ca406115/Domotika/Home%20Assistant/Node_Red/NodeRed.json</t>
  </si>
  <si>
    <t>定时开关灯</t>
  </si>
  <si>
    <t>每隔一分钟触发一次，根据预设时间控制灯具的开启和关闭，并与Home Assistant系统进行交互以调整灯光状态。</t>
  </si>
  <si>
    <t>219.json</t>
  </si>
  <si>
    <t>https://github.com/njhughes-01/nodeRed-HA-GrowingFunctions/blob/7328310340cb5de75f245922ac857821c710153a/lightcontrol.json</t>
  </si>
  <si>
    <t>宝马燃油监控</t>
  </si>
  <si>
    <t>触发器监测输入布尔值状态变化，当指定实体id的当前状态变为“on”时激活流程，并根据条件输出信号。</t>
  </si>
  <si>
    <t>220.json</t>
  </si>
  <si>
    <t>https://github.com/poweredgenl/smarthome/blob/5e6900132d8dc4f28bdcc20de6d885a3a13166d2/housenotifications/bmw_fuel_remaning_TTS.json</t>
  </si>
  <si>
    <t>播放列表处理</t>
  </si>
  <si>
    <t>手动触发后逐个读取播放列表中的文件夹路径和模式，执行查找命令以获取匹配的文件，并从中随机挑选一个文件。如果当前索引超出范围则结束流程。</t>
  </si>
  <si>
    <t>221.json</t>
  </si>
  <si>
    <t>https://github.com/islamic-home-automation/home-assistant-node-red/blob/f6aae3ba3fd5152e7162e701bfb28642d0f151ae/dua-adhkar-with-repeat/flow.json</t>
  </si>
  <si>
    <t>日出太阳时钟</t>
  </si>
  <si>
    <t>根据地理位置和时间范围设置，自动化控制设备在日出、正午、黄金时段及黄昏等特定时间段内的开关状态。</t>
  </si>
  <si>
    <t>222.json</t>
  </si>
  <si>
    <t>re-1st/HA-3d-floorplan</t>
  </si>
  <si>
    <t>https://github.com/re-1st/HA-3d-floorplan/blob/bb4e4cbe408d0bd44a8f66b842228300ca2780ca/nodered-flows/weather-flow.json</t>
  </si>
  <si>
    <t>风扇开关</t>
  </si>
  <si>
    <t>监听特定设备的开关状态变化并输出对应消息，仅在状态改变时触发。</t>
  </si>
  <si>
    <t>223.json</t>
  </si>
  <si>
    <t>https://github.com/bhupendpatil/Practice/blob/3291657e62c7c2a88b359ce7569e7112c4089cf1/Node-RED/2relay.json</t>
  </si>
  <si>
    <t>Modbus读取</t>
  </si>
  <si>
    <t>每小时的第5到21分钟，每隔一分钟生成一个包含特定参数的请求消息以通过Modbus协议读取远程设备数据。</t>
  </si>
  <si>
    <t>224.json</t>
  </si>
  <si>
    <t>fonske/SMA_inverter_logging</t>
  </si>
  <si>
    <t>https://github.com/fonske/SMA_inverter_logging/blob/6b086be34c2ccd9bfbe37c9b0a1e2e314100c553/Node-red_flows/nodered_flow_nodered_restart_if_modbus_fails.json</t>
  </si>
  <si>
    <t>Zigbee控制</t>
  </si>
  <si>
    <t>通过MQTT接收zigbee设备消息，并根据注入指令控制设备启停，调试信息输出到手动USB接口。</t>
  </si>
  <si>
    <t>225.json</t>
  </si>
  <si>
    <t>FrederikVoncken/ZigbeeFailsafe</t>
  </si>
  <si>
    <t>https://github.com/FrederikVoncken/ZigbeeFailsafe/blob/88aca8bcdfd57cdd78d705f342831d697532d7d7/ZigbeeFlow.json</t>
  </si>
  <si>
    <t>线路监控</t>
  </si>
  <si>
    <t>监听Wiener Linien的变动事件，并输出变更后的数据，用于实时监测和响应Vienna公交系统的更新。</t>
  </si>
  <si>
    <t>226.json</t>
  </si>
  <si>
    <t>thoebert/Wiener-Linien-HA-Dashboard</t>
  </si>
  <si>
    <t>https://github.com/thoebert/Wiener-Linien-HA-Dashboard/blob/2488de29ac217dc214c19117711201d816433f88/NodeRED-Flow.json</t>
  </si>
  <si>
    <t>事件切换</t>
  </si>
  <si>
    <t>根据消息负载中的事件动作名称进行判断并执行不同规则的逻辑处理，支持五种特定事件的响应。</t>
  </si>
  <si>
    <t>227.json</t>
  </si>
  <si>
    <t>https://github.com/mystcb/home-automation/blob/db8fd9ce4a1b3c0fd1ec35656b673ed8eb6379a4/node-red-flows/ios.json</t>
  </si>
  <si>
    <t>早上问候</t>
  </si>
  <si>
    <t>创建一个包含多个节点的流程组，用于执行早晨问候相关操作，在指定时间注入测试数据。</t>
  </si>
  <si>
    <t>228.json</t>
  </si>
  <si>
    <t>https://github.com/poweredgenl/smarthome/blob/5e6900132d8dc4f28bdcc20de6d885a3a13166d2/housenotifications/goodmorning.json</t>
  </si>
  <si>
    <t>数据转换</t>
  </si>
  <si>
    <t>接收消息，将安卓设备状态中的title和text属性值提取并设置为新消息的数据字段，然后输出。</t>
  </si>
  <si>
    <t>229.json</t>
  </si>
  <si>
    <t>https://github.com/GingerCam/Home-Assistant-Config/blob/1f09650751035ed880319c41a803a31322f6860a/node-red/flows/Personal/flows.json</t>
  </si>
  <si>
    <t>状态监听</t>
  </si>
  <si>
    <t>监听特定传感器的状态变化，并在状态改变时输出信号，不输出初始值。配置为精确匹配sensor_cubo_action实体ID，忽略先前状态为空、未知或不可用的情况。</t>
  </si>
  <si>
    <t>230.json</t>
  </si>
  <si>
    <t>https://github.com/domoticafacilconjota/capitulos/blob/73c53ca668499d57dda168ba6b9ab320cb10643d/temporada_3/S03E03/todas_las_acciones.json</t>
  </si>
  <si>
    <t>温度模拟</t>
  </si>
  <si>
    <t>通过注入随机数模拟温度传感器数据，经处理后输出到MQTT主题，并在调试节点中显示。</t>
  </si>
  <si>
    <t>231.json</t>
  </si>
  <si>
    <t>yvesdebeer/IoT-Workshop-2019</t>
  </si>
  <si>
    <t>https://github.com/yvesdebeer/IoT-Workshop-2019/blob/801260a9b058dc637063af0e721e003fdd92de05/example.json</t>
  </si>
  <si>
    <t>智能调度</t>
  </si>
  <si>
    <t>根据预设规则和时间表自动调整温度设置并发送消息，支持多种场景模式切换。</t>
  </si>
  <si>
    <t>232.json</t>
  </si>
  <si>
    <t>vibr77/node-red-smart-scheduler</t>
  </si>
  <si>
    <t>https://github.com/vibr77/node-red-smart-scheduler/blob/f776d59ca58db89f186a087a65d8e34ea7de0a1a/examples/full_suite_ex.json</t>
  </si>
  <si>
    <t>日出闹钟</t>
  </si>
  <si>
    <t>根据日出时间提前15分钟发送提醒，并设置相关定时器，用于触发后续的闹钟事件。</t>
  </si>
  <si>
    <t>233.json</t>
  </si>
  <si>
    <t>https://github.com/alexanderhale/home-assistant/blob/8c4fe8549aceda437637579e3bd360809d348ebc/automations/sunrise_alarm/sunrise_alarm_flow.json</t>
  </si>
  <si>
    <t>语音控制</t>
  </si>
  <si>
    <t>监听特定音箱的切换艺术家播放状态变化，并在状态改变时输出相关信息。</t>
  </si>
  <si>
    <t>234.json</t>
  </si>
  <si>
    <t>https://github.com/GingerCam/Home-Assistant-Config/blob/1f09650751035ed880319c41a803a31322f6860a/node-red/flows/Group-hangout/flows.json</t>
  </si>
  <si>
    <t>移动通知处理</t>
  </si>
  <si>
    <t>监听并响应所有移动端应用的通知操作，根据事件类型和动作属性进行路由处理。</t>
  </si>
  <si>
    <t>235.json</t>
  </si>
  <si>
    <t>myrakrusemark/3D-Print-Quality-Monitor-HA-NodeRes-GPT4-Vision-</t>
  </si>
  <si>
    <t>https://github.com/myrakrusemark/3D-Print-Quality-Monitor-HA-NodeRes-GPT4-Vision-/blob/bba6116df83f3883956c7e865ad0e38df25831e2/flows.json</t>
  </si>
  <si>
    <t>夜间模式</t>
  </si>
  <si>
    <t>定时触发夜间场景，控制相关设备执行预设操作，如关闭灯光、调整温度等。</t>
  </si>
  <si>
    <t>236.json</t>
  </si>
  <si>
    <t>https://github.com/poweredgenl/smarthome/blob/5e6900132d8dc4f28bdcc20de6d885a3a13166d2/housenotifications/goodnight.json</t>
  </si>
  <si>
    <t>控制灯光</t>
  </si>
  <si>
    <t>通过API调用服务来启动指定的灯光组，便于自动化场景中的灯光管理。</t>
  </si>
  <si>
    <t>237.json</t>
  </si>
  <si>
    <t>https://github.com/Zerk4112/Micropython-MQTT-HASS-Smart-Light-Dimmer/blob/1f07d0d4da46cae4ad3473e09f0d0f8140ebe70e/node-red-flows/brightness.json</t>
  </si>
  <si>
    <t>HA通知</t>
  </si>
  <si>
    <t>监听Home Assistant的调用服务事件，筛选出notify域的通知事件并生成消息payload和topic。</t>
  </si>
  <si>
    <t>238.json</t>
  </si>
  <si>
    <t>protyposis/node-red-contrib-wled-notification</t>
  </si>
  <si>
    <t>https://github.com/protyposis/node-red-contrib-wled-notification/blob/a32b1d541884ea6b21ec9769f8b0fc8f73dffab6/examples/Home%20Assistant%20service%20notifications.json</t>
  </si>
  <si>
    <t>湿度控制</t>
  </si>
  <si>
    <t>根据注入的开关信号发送服务调用请求以调节环境中的湿度水平，开启或关闭相应的设备。</t>
  </si>
  <si>
    <t>239.json</t>
  </si>
  <si>
    <t>https://github.com/fixx-er/Project-files/blob/a6a39e5a26ea336d1fd350fc8f464e07d5c52045/Bed_PIR38.json</t>
  </si>
  <si>
    <t>智能开关延时关闭</t>
  </si>
  <si>
    <t>当名为campahia的智能开关被触发并切换到开启状态后，系统等待两秒钟自动将其关闭。此流程确保了在特定场景下智能开关能够按照预设的时间延迟进行操作。</t>
  </si>
  <si>
    <t>240.json</t>
  </si>
  <si>
    <t>maranguapo/SmartHome</t>
  </si>
  <si>
    <t>https://github.com/maranguapo/SmartHome/blob/54e6c16f2c2005d8e8a262ef461d46f26e7eecb0/AutomacoesNodeRED/campahia.json</t>
  </si>
  <si>
    <t>监听特定输入布尔值实体的状态变化，当状态为“on”时停止输出，仅在状态改变时发送消息。</t>
  </si>
  <si>
    <t>241.json</t>
  </si>
  <si>
    <t>https://github.com/domoticafacilconjota/capitulos/blob/73c53ca668499d57dda168ba6b9ab320cb10643d/temporada_2/S02E27/ha_remoto_semichachi.json</t>
  </si>
  <si>
    <t>灯光效果控制</t>
  </si>
  <si>
    <t>通过注入特定的属性值来控制智能灯具的颜色、亮度和效果，同时支持定时操作。</t>
  </si>
  <si>
    <t>242.json</t>
  </si>
  <si>
    <t>https://github.com/ryanjohnsontv/node-red-contrib-ha-inovelli-manager/blob/19bb69c5905d2a7f352b5dfb361b1dffbf1c45d9/examples/inject_values.json</t>
  </si>
  <si>
    <t>家庭自动化</t>
  </si>
  <si>
    <t>通过Home Assistant服务器连接和管理智能设备及场景，支持布尔逻辑判断与JSON缓存。</t>
  </si>
  <si>
    <t>243.json</t>
  </si>
  <si>
    <t>laleesaw/miniproject</t>
  </si>
  <si>
    <t>https://github.com/laleesaw/miniproject/blob/5b2082f29137acaa7c4b4fa4dbd00ec6b3a5d857/flows.json</t>
  </si>
  <si>
    <t>智能定时切换</t>
  </si>
  <si>
    <t>通过随机延迟后调用Home Assistant API切换指定设备的状态，模拟家庭活动场景。</t>
  </si>
  <si>
    <t>244.json</t>
  </si>
  <si>
    <t>https://github.com/migacode/home-assistant/blob/5b4a7c4f3f819f0c1951564fb957d9a9223f2353/spooky/code/spooky_nodered_flow_1.20.json</t>
  </si>
  <si>
    <t>通过Home Assistant服务器接收并处理来自特定Tuya智能设备的信号，实现门铃通知功能。</t>
  </si>
  <si>
    <t>245.json</t>
  </si>
  <si>
    <t>monster1025/hass.fnv</t>
  </si>
  <si>
    <t>https://github.com/monster1025/hass.fnv/blob/fa71019628f574ac4a6431dc48c5a620131761ae/node-red/settings/data/flows.json</t>
  </si>
  <si>
    <t>HA配置处理</t>
  </si>
  <si>
    <t>接收Home Assistant设置请求，解析消息负载并生成Home Assistant配置对象，设置MQTT主机、端口等参数。</t>
  </si>
  <si>
    <t>246.json</t>
  </si>
  <si>
    <t>https://github.com/The-CosmicX/Node-Development/blob/84dc30fc33a59068de0619d7915bb7bbd8c8f44f/apis/phase2/phase2-platform-integrations-api.json</t>
  </si>
  <si>
    <t>设备模板渲染</t>
  </si>
  <si>
    <t>根据当前时间和指定区域内的设备状态，生成包含各区域内可用灯的JSON格式数据。该流程通过NodeRed的API渲染模板节点动态获取和展示每个区域中未禁用且有名称属性的灯光设备信息，并以结构化的形式呈现给用户。</t>
  </si>
  <si>
    <t>247.json</t>
  </si>
  <si>
    <t>https://github.com/montaque22/node-red-contrib-ai-intent/blob/ef5bb7f8294c5193db078dcb2b43447c2da2aaa0/examples/home-assistant-automation.json</t>
  </si>
  <si>
    <t>计数器读取</t>
  </si>
  <si>
    <t>从全局变量中获取宠物食品计数传感器的状态，并通过Alexa技能接口发布给用户。</t>
  </si>
  <si>
    <t>248.json</t>
  </si>
  <si>
    <t>https://github.com/MicheleMercuri/mickmmm/blob/e572dfc0f22f3881063c48b1606a484760550d49/Pet%20Food%20Dispenser%20With%20Alexa%20Media/nodered.flows.json</t>
  </si>
  <si>
    <t>表单设置</t>
  </si>
  <si>
    <t>处理开关状态并设置HTTP请求头及内容类型，将数据转换为multipart/form-data格式以便发送。</t>
  </si>
  <si>
    <t>249.json</t>
  </si>
  <si>
    <t>cablesquirrel/rlac</t>
  </si>
  <si>
    <t>https://github.com/cablesquirrel/rlac/blob/9c3b5277f73ef7875407da497233214d5cb08bc7/public/files/aroma_link_automation.json</t>
  </si>
  <si>
    <t>床感开关</t>
  </si>
  <si>
    <t>当卧室感应器检测到运动时，根据payload值为on或off切换不同的输出路径，并在特定状态下停止运行。</t>
  </si>
  <si>
    <t>250.json</t>
  </si>
  <si>
    <t>https://github.com/fixx-er/Project-files/blob/a6a39e5a26ea336d1fd350fc8f464e07d5c52045/Bed_PIR2.json</t>
  </si>
  <si>
    <t>监听输入布尔值设备的状态变化，当特定条件满足时触发相应输出操作。</t>
  </si>
  <si>
    <t>251.json</t>
  </si>
  <si>
    <t>https://github.com/domoticafacilconjota/capitulos/blob/73c53ca668499d57dda168ba6b9ab320cb10643d/temporada_3/S03E19/ptz.json</t>
  </si>
  <si>
    <t>办公室感应器</t>
  </si>
  <si>
    <t>监听办公区运动传感器状态变化，仅在状态改变时输出当前占用情况信息。</t>
  </si>
  <si>
    <t>252.json</t>
  </si>
  <si>
    <t>EvisHome/Home-Assistant</t>
  </si>
  <si>
    <t>https://github.com/EvisHome/Home-Assistant/blob/4d28ff9daa04127a32f8cea72537ec18acfeb98f/examples/automation-delay-visualization/node-red-automation-compact.json</t>
  </si>
  <si>
    <t>设备切换</t>
  </si>
  <si>
    <t>通过HTTP请求调用Node-Red节点来切换HomeAssistant中的设备状态，并返回一个包含切换信息的HTML页面。</t>
  </si>
  <si>
    <t>253.json</t>
  </si>
  <si>
    <t>https://github.com/ki321g/AMS/blob/ea804cf57bea9e901d1126716ff4fde6823702ae/Documentation/NodeRed/device.json</t>
  </si>
  <si>
    <t>假期状态</t>
  </si>
  <si>
    <t>监测输入布尔值设备的假期状态变化，并在状态改变时输出信号。</t>
  </si>
  <si>
    <t>254.json</t>
  </si>
  <si>
    <t>https://github.com/cjramseyer/nodered/blob/cb87b7cc23596ceb44777113192d5e99864e88e8/flowexports/vacation.json</t>
  </si>
  <si>
    <t>垃圾清运提醒</t>
  </si>
  <si>
    <t>每日18点检查明天的垃圾清运状态，若符合特定条件则进行后续处理。</t>
  </si>
  <si>
    <t>255.json</t>
  </si>
  <si>
    <t>https://github.com/migacode/home-assistant/blob/5b4a7c4f3f819f0c1951564fb957d9a9223f2353/ath/code/ATH_nodered_flow_1.20.json</t>
  </si>
  <si>
    <t>智能电网数据读取</t>
  </si>
  <si>
    <t>通过轮询状态节点从指定服务器读取智能电网中设定的输入阈值，并不暴露到HomeAssistant环境中。</t>
  </si>
  <si>
    <t>256.json</t>
  </si>
  <si>
    <t>cannos88/Node-RED-fv-heat-pump</t>
  </si>
  <si>
    <t>https://github.com/cannos88/Node-RED-fv-heat-pump/blob/a1da931a6e4de7d963540e033c819c51aead8eac/flow.json</t>
  </si>
  <si>
    <t>RGB灯光控制</t>
  </si>
  <si>
    <t>调用API服务以指定亮度和RGB颜色值来开启RGB灯，模拟不同的颜色效果。</t>
  </si>
  <si>
    <t>257.json</t>
  </si>
  <si>
    <t>nightshade00013/RGB_Party_Bulbs</t>
  </si>
  <si>
    <t>https://github.com/nightshade00013/RGB_Party_Bulbs/blob/c1a3331045818d65aea8783862a2d1aee764e569/NodeRED-party-bulbs.json</t>
  </si>
  <si>
    <t>MQTT数据转发</t>
  </si>
  <si>
    <t>从Bayrol AS5设备接收特定主题的MQTT消息，并将其转发到指定的目标MQTT代理。</t>
  </si>
  <si>
    <t>258.json</t>
  </si>
  <si>
    <t>harb70/bayrolas5-nodered</t>
  </si>
  <si>
    <t>https://github.com/harb70/bayrolas5-nodered/blob/45eaa29d00f05a51466508ddad2842812041bd2f/bayrol-nodered.json</t>
  </si>
  <si>
    <t>定时开关控制</t>
  </si>
  <si>
    <t>通过延迟节点和触发节点实现设备在特定时间自动切换到关闭状态，并根据主题信息进行流程控制。</t>
  </si>
  <si>
    <t>259.json</t>
  </si>
  <si>
    <t>marconr9/HA-Dishwasser-Node-red</t>
  </si>
  <si>
    <t>https://github.com/marconr9/HA-Dishwasser-Node-red/blob/dca14338278659bc361258fe61309d53a980354f/Dishwasser.json</t>
  </si>
  <si>
    <t>锁状态监控</t>
  </si>
  <si>
    <t>监听特定服务器上的锁定设备LZW36的状态变化，仅在状态改变时输出信号，用于精确控制相关逻辑流程。</t>
  </si>
  <si>
    <t>260.json</t>
  </si>
  <si>
    <t>https://github.com/ryanjohnsontv/node-red-contrib-inovelli-notification-calculator/blob/5550ec3f54d0ddb4a1e52716209f6e8b08de7ca8/examples/lock_notifications.json</t>
  </si>
  <si>
    <t>WLED通知</t>
  </si>
  <si>
    <t>监听并处理与WLED设备相关的通知事件，提取颜色效果数据并通过消息进行传递。</t>
  </si>
  <si>
    <t>261.json</t>
  </si>
  <si>
    <t>https://github.com/protyposis/node-red-contrib-wled-notification/blob/a32b1d541884ea6b21ec9769f8b0fc8f73dffab6/examples/Home%20Assistant%20event%20notifications.json</t>
  </si>
  <si>
    <t>通过API读取雨水储罐满载状态，并根据二进制传感器判断是否停止水泵运行。</t>
  </si>
  <si>
    <t>262.json</t>
  </si>
  <si>
    <t>yolkhovyy/good-stuff</t>
  </si>
  <si>
    <t>https://github.com/yolkhovyy/good-stuff/blob/57461812650bcd6a192e615f3c7d40566789fef5/diy-smart-rain-water-barrel/water-pump-control.json</t>
  </si>
  <si>
    <t>开关控制</t>
  </si>
  <si>
    <t>接收注入的JSON数据并通过逻辑判断来调用API服务控制指定ID的开关状态变化。</t>
  </si>
  <si>
    <t>263.json</t>
  </si>
  <si>
    <t>https://github.com/nidayand/node-red-contrib-norelite-homeassistant/blob/9844e09ed303b92638db924ff0538d90566755ca/examples/switch.json</t>
  </si>
  <si>
    <t>电流监控</t>
  </si>
  <si>
    <t>每5秒触发一次，用于获取并监测OpenEVSE系统的接入电流状态。</t>
  </si>
  <si>
    <t>264.json</t>
  </si>
  <si>
    <t>https://github.com/ccorderor/home-assistant-config/blob/5ed012c6a0df4d05b2e38eb58408cc49bfdb8942/node-red/openevse.json</t>
  </si>
  <si>
    <t>定时读取传感器</t>
  </si>
  <si>
    <t>每5秒注入信号以定期获取指定传感器的状态，并将其数值输出给后续节点处理，如果值为空则记录错误信息。</t>
  </si>
  <si>
    <t>265.json</t>
  </si>
  <si>
    <t>Doudoulez/Home-Assistant-capteur-storcube</t>
  </si>
  <si>
    <t>https://github.com/Doudoulez/Home-Assistant-capteur-storcube/blob/ed974387ba8391d1eeefa57fbee8da8b0b196aeb/flows%20v1.json</t>
  </si>
  <si>
    <t>配置Home Assistant服务器与MQTT代理，连接Google Home设备实现智能家居控制。</t>
  </si>
  <si>
    <t>266.json</t>
  </si>
  <si>
    <t>lorot19/ThermalPrinter</t>
  </si>
  <si>
    <t>https://github.com/lorot19/ThermalPrinter/blob/a738fe2802cb9a25d5bd19f9609554aef6c41d19/printer_image_MQTT/nodes/main_node.json</t>
  </si>
  <si>
    <t>充电桩状态</t>
  </si>
  <si>
    <t>定期读取并监控Wallbox Portal的充电站状态信息，每隔10分钟更新一次，仅在状态变化时输出新的数据。</t>
  </si>
  <si>
    <t>267.json</t>
  </si>
  <si>
    <t>johnkazer/node-red-wallbox-status-monitor</t>
  </si>
  <si>
    <t>https://github.com/johnkazer/node-red-wallbox-status-monitor/blob/a92fb2469db2973b7742917856277054d4b02dc8/node-red-wallbox-status-monitor.json</t>
  </si>
  <si>
    <t>离开组</t>
  </si>
  <si>
    <t>当输入布尔值跟随音乐状态改变时，触发Sonos播放器从当前群组中退出。此节点用于控制家庭音频设备的群组操作，并根据特定状态变化执行相应命令。</t>
  </si>
  <si>
    <t>268.json</t>
  </si>
  <si>
    <t>https://github.com/willbob8/willsurridgetech/blob/47257a52d0d6b5306ff353a2f43fbd269bb93dda/FollowMusicFlow.json</t>
  </si>
  <si>
    <t>name</t>
  </si>
  <si>
    <t>category</t>
  </si>
  <si>
    <t>description</t>
  </si>
  <si>
    <t>tags</t>
  </si>
  <si>
    <t>domain</t>
  </si>
  <si>
    <t>describing_the_model</t>
  </si>
  <si>
    <t>code</t>
  </si>
  <si>
    <t>additional</t>
  </si>
  <si>
    <t>reference</t>
  </si>
  <si>
    <t>image_url</t>
  </si>
  <si>
    <t>language</t>
  </si>
  <si>
    <t>token</t>
  </si>
  <si>
    <t>b-grid-vertical-alignment_b-tooltip-show-ref-event</t>
  </si>
  <si>
    <t>组合模板</t>
  </si>
  <si>
    <t xml:space="preserve">本模板为组合模板，由b-grid-vertical-alignment和b-tooltip-show-ref-event组合而成；其中:
b-grid-vertical-alignment的功能描述：
- 该Vue组件使用Bootstrap Vue框架实现了响应式的列布局。
- 包含多个行元素，每行内部有三个等宽的列，展示不同的垂直对齐方式（顶部对齐、居中对齐和底部对齐）。
- 列内支持自定义样式以适应不同内容高度需求，例如字体大小的变化不会影响整体布局的对齐效果。
- 适用于需要灵活管理页面元素垂直排列的设计场景，如产品列表页、博客文章展示等。
b-tooltip-show-ref-event的功能描述：
该Vue文件实现了一个带有提示框的按钮功能。当用户点击特定按钮时，会显示一个带有文本“Hello World!”的提示框，并且通过点击其他两个控制按钮可以手动打开或关闭此提示框。
- 包含三个按钮:一个初始按钮用于触发默认提示框显示事件；另外两个用于自定义打开和关闭操作。
- 通过Vue的方法`onOpen()`和`onClose()`来控制提示框的显示状态，这些方法使用了对DOM元素（b-tooltip组件）的引用。
- 使用了Bootstrap Vue框架中的Button和Tooltip组件进行UI设计与交互。
- 此功能适合用于需要增强用户互动体验的应用场景中，如网站导航、帮助信息展示等。
</t>
  </si>
  <si>
    <t>自定义方法,事件监听,按钮,列布局,响应式布局,布局管理,提示框,bootstrap-vue</t>
  </si>
  <si>
    <t>Web开发,用户界面,前端交互,表现层优化,Vue组件,网页布局,UI设计,前端开发</t>
  </si>
  <si>
    <t>Vue</t>
  </si>
  <si>
    <t>https://ddst.sjtu.edu.cn/lctemplate/vue/combinations/combinations/b-grid-vertical-alignment_b-tooltip-show-ref-event.vue</t>
  </si>
  <si>
    <t>BootstrapVue：https://github.com/bootstrap-vue/bootstrap-vue</t>
  </si>
  <si>
    <t>模板组件来源于github，https://github.com/CyberAP/bootstrap-vue-compat-ssr-test/tree/main/src/components/b-grid-vertical-alignment.vue;https://github.com/CyberAP/bootstrap-vue-compat-ssr-test/tree/main/src/components/b-tooltip-show-ref-event.vue</t>
  </si>
  <si>
    <t>https://ddst.sjtu.edu.cn/lctemplate/vue/combinations/screenshots/bgridverticalalignmentbtooltipshowrefevent.png</t>
  </si>
  <si>
    <t>d115b78dd95f282b9b52d7842d576bbc</t>
  </si>
</sst>
</file>

<file path=xl/styles.xml><?xml version="1.0" encoding="utf-8"?>
<styleSheet xmlns="http://schemas.openxmlformats.org/spreadsheetml/2006/main">
  <numFmts count="36">
    <numFmt numFmtId="176" formatCode="[DBNum1][$-804]yyyy&quot;年&quot;m&quot;月&quot;"/>
    <numFmt numFmtId="6" formatCode="&quot;￥&quot;#,##0;[Red]&quot;￥&quot;\-#,##0"/>
    <numFmt numFmtId="23" formatCode="\$#,##0_);\(\$#,##0\)"/>
    <numFmt numFmtId="177" formatCode="\¥#,##0.00;[Red]\¥\-#,##0.00"/>
    <numFmt numFmtId="178" formatCode="#\ ??/??"/>
    <numFmt numFmtId="5" formatCode="&quot;￥&quot;#,##0;&quot;￥&quot;\-#,##0"/>
    <numFmt numFmtId="179" formatCode="mmmm\-yy"/>
    <numFmt numFmtId="24" formatCode="\$#,##0_);[Red]\(\$#,##0\)"/>
    <numFmt numFmtId="7" formatCode="&quot;￥&quot;#,##0.00;&quot;￥&quot;\-#,##0.00"/>
    <numFmt numFmtId="25" formatCode="\$#,##0.00_);\(\$#,##0.00\)"/>
    <numFmt numFmtId="180" formatCode="#\ ?/?"/>
    <numFmt numFmtId="181" formatCode="mmmmm"/>
    <numFmt numFmtId="182" formatCode="[DBNum1][$-804]yyyy&quot;年&quot;m&quot;月&quot;d&quot;日&quot;"/>
    <numFmt numFmtId="44" formatCode="_ &quot;￥&quot;* #,##0.00_ ;_ &quot;￥&quot;* \-#,##0.00_ ;_ &quot;￥&quot;* &quot;-&quot;??_ ;_ @_ "/>
    <numFmt numFmtId="183" formatCode="[DBNum1]上午/下午h&quot;时&quot;mm&quot;分&quot;"/>
    <numFmt numFmtId="184" formatCode="[$-804]aaa"/>
    <numFmt numFmtId="8" formatCode="&quot;￥&quot;#,##0.00;[Red]&quot;￥&quot;\-#,##0.00"/>
    <numFmt numFmtId="185" formatCode="[$-804]aaaa"/>
    <numFmt numFmtId="186" formatCode="mm/dd/yy"/>
    <numFmt numFmtId="187" formatCode="h:mm\ AM/PM"/>
    <numFmt numFmtId="188" formatCode="yyyy/m/d\ h:mm\ AM/PM"/>
    <numFmt numFmtId="189" formatCode="\¥#,##0.00;\¥\-#,##0.00"/>
    <numFmt numFmtId="190" formatCode="#\ ??"/>
    <numFmt numFmtId="191" formatCode="dd\-mmm\-yy"/>
    <numFmt numFmtId="192" formatCode="m/d"/>
    <numFmt numFmtId="193" formatCode="\¥#,##0;\¥\-#,##0"/>
    <numFmt numFmtId="194" formatCode="mmmmm\-yy"/>
    <numFmt numFmtId="26" formatCode="\$#,##0.00_);[Red]\(\$#,##0.00\)"/>
    <numFmt numFmtId="195" formatCode="yy/m/d"/>
    <numFmt numFmtId="196" formatCode="[DBNum1][$-804]m&quot;月&quot;d&quot;日&quot;"/>
    <numFmt numFmtId="197" formatCode="[DBNum1]h&quot;时&quot;mm&quot;分&quot;"/>
    <numFmt numFmtId="198" formatCode="h:mm:ss\ AM/PM"/>
    <numFmt numFmtId="42" formatCode="_ &quot;￥&quot;* #,##0_ ;_ &quot;￥&quot;* \-#,##0_ ;_ &quot;￥&quot;* &quot;-&quot;_ ;_ @_ "/>
    <numFmt numFmtId="199" formatCode="\¥#,##0;[Red]\¥\-#,##0"/>
    <numFmt numFmtId="43" formatCode="_ * #,##0.00_ ;_ * \-#,##0.00_ ;_ * &quot;-&quot;??_ ;_ @_ "/>
    <numFmt numFmtId="41" formatCode="_ * #,##0_ ;_ * \-#,##0_ ;_ * &quot;-&quot;_ ;_ @_ "/>
  </numFmts>
  <fonts count="22">
    <font>
      <sz val="11"/>
      <color theme="1"/>
      <name val="等线"/>
      <charset val="134"/>
      <scheme val="minor"/>
    </font>
    <font>
      <u/>
      <sz val="11"/>
      <color theme="10"/>
      <name val="等线"/>
      <charset val="134"/>
      <scheme val="minor"/>
    </font>
    <font>
      <sz val="11"/>
      <color rgb="FF006100"/>
      <name val="等线"/>
      <charset val="134"/>
      <scheme val="minor"/>
    </font>
    <font>
      <sz val="11"/>
      <color rgb="FF000000"/>
      <name val="等线"/>
      <charset val="134"/>
      <scheme val="minor"/>
    </font>
    <font>
      <sz val="11"/>
      <color rgb="FF9C5700"/>
      <name val="等线"/>
      <charset val="134"/>
      <scheme val="minor"/>
    </font>
    <font>
      <sz val="11"/>
      <color rgb="FF9C5700"/>
      <name val="等线"/>
      <charset val="134"/>
    </font>
    <font>
      <sz val="11"/>
      <color rgb="FF9C0006"/>
      <name val="等线"/>
      <charset val="134"/>
      <scheme val="minor"/>
    </font>
    <font>
      <sz val="11"/>
      <color theme="1"/>
      <name val="等线"/>
      <charset val="0"/>
      <scheme val="minor"/>
    </font>
    <font>
      <sz val="11"/>
      <color theme="0"/>
      <name val="等线"/>
      <charset val="0"/>
      <scheme val="minor"/>
    </font>
    <font>
      <b/>
      <sz val="13"/>
      <color theme="3"/>
      <name val="等线"/>
      <charset val="134"/>
      <scheme val="minor"/>
    </font>
    <font>
      <sz val="11"/>
      <color rgb="FFFF0000"/>
      <name val="等线"/>
      <charset val="0"/>
      <scheme val="minor"/>
    </font>
    <font>
      <i/>
      <sz val="11"/>
      <color rgb="FF7F7F7F"/>
      <name val="等线"/>
      <charset val="0"/>
      <scheme val="minor"/>
    </font>
    <font>
      <b/>
      <sz val="15"/>
      <color theme="3"/>
      <name val="等线"/>
      <charset val="134"/>
      <scheme val="minor"/>
    </font>
    <font>
      <sz val="11"/>
      <color rgb="FF3F3F76"/>
      <name val="等线"/>
      <charset val="0"/>
      <scheme val="minor"/>
    </font>
    <font>
      <b/>
      <sz val="11"/>
      <color theme="1"/>
      <name val="等线"/>
      <charset val="0"/>
      <scheme val="minor"/>
    </font>
    <font>
      <b/>
      <sz val="11"/>
      <color rgb="FFFFFFFF"/>
      <name val="等线"/>
      <charset val="0"/>
      <scheme val="minor"/>
    </font>
    <font>
      <b/>
      <sz val="18"/>
      <color theme="3"/>
      <name val="等线"/>
      <charset val="134"/>
      <scheme val="minor"/>
    </font>
    <font>
      <b/>
      <sz val="11"/>
      <color rgb="FF3F3F3F"/>
      <name val="等线"/>
      <charset val="0"/>
      <scheme val="minor"/>
    </font>
    <font>
      <b/>
      <sz val="11"/>
      <color theme="3"/>
      <name val="等线"/>
      <charset val="134"/>
      <scheme val="minor"/>
    </font>
    <font>
      <b/>
      <sz val="11"/>
      <color rgb="FFFA7D00"/>
      <name val="等线"/>
      <charset val="0"/>
      <scheme val="minor"/>
    </font>
    <font>
      <sz val="11"/>
      <color rgb="FFFA7D00"/>
      <name val="等线"/>
      <charset val="0"/>
      <scheme val="minor"/>
    </font>
    <font>
      <u/>
      <sz val="11"/>
      <color rgb="FF800080"/>
      <name val="等线"/>
      <charset val="0"/>
      <scheme val="minor"/>
    </font>
  </fonts>
  <fills count="33">
    <fill>
      <patternFill patternType="none"/>
    </fill>
    <fill>
      <patternFill patternType="gray125"/>
    </fill>
    <fill>
      <patternFill patternType="solid">
        <fgColor rgb="FFC6EFCE"/>
        <bgColor indexed="64"/>
      </patternFill>
    </fill>
    <fill>
      <patternFill patternType="solid">
        <fgColor rgb="FFFFEB9C"/>
        <bgColor indexed="64"/>
      </patternFill>
    </fill>
    <fill>
      <patternFill patternType="solid">
        <fgColor rgb="FFFFC7CE"/>
        <bgColor indexed="64"/>
      </patternFill>
    </fill>
    <fill>
      <patternFill patternType="solid">
        <fgColor theme="4" tint="0.599993896298105"/>
        <bgColor indexed="64"/>
      </patternFill>
    </fill>
    <fill>
      <patternFill patternType="solid">
        <fgColor theme="9"/>
        <bgColor indexed="64"/>
      </patternFill>
    </fill>
    <fill>
      <patternFill patternType="solid">
        <fgColor theme="8" tint="0.599993896298105"/>
        <bgColor indexed="64"/>
      </patternFill>
    </fill>
    <fill>
      <patternFill patternType="solid">
        <fgColor theme="9" tint="0.599993896298105"/>
        <bgColor indexed="64"/>
      </patternFill>
    </fill>
    <fill>
      <patternFill patternType="solid">
        <fgColor theme="9" tint="0.799981688894314"/>
        <bgColor indexed="64"/>
      </patternFill>
    </fill>
    <fill>
      <patternFill patternType="solid">
        <fgColor theme="5" tint="0.799981688894314"/>
        <bgColor indexed="64"/>
      </patternFill>
    </fill>
    <fill>
      <patternFill patternType="solid">
        <fgColor rgb="FFFFCC99"/>
        <bgColor indexed="64"/>
      </patternFill>
    </fill>
    <fill>
      <patternFill patternType="solid">
        <fgColor theme="6"/>
        <bgColor indexed="64"/>
      </patternFill>
    </fill>
    <fill>
      <patternFill patternType="solid">
        <fgColor rgb="FFA5A5A5"/>
        <bgColor indexed="64"/>
      </patternFill>
    </fill>
    <fill>
      <patternFill patternType="solid">
        <fgColor theme="4"/>
        <bgColor indexed="64"/>
      </patternFill>
    </fill>
    <fill>
      <patternFill patternType="solid">
        <fgColor rgb="FFFFFFCC"/>
        <bgColor indexed="64"/>
      </patternFill>
    </fill>
    <fill>
      <patternFill patternType="solid">
        <fgColor theme="4" tint="0.399975585192419"/>
        <bgColor indexed="64"/>
      </patternFill>
    </fill>
    <fill>
      <patternFill patternType="solid">
        <fgColor theme="8"/>
        <bgColor indexed="64"/>
      </patternFill>
    </fill>
    <fill>
      <patternFill patternType="solid">
        <fgColor theme="9" tint="0.399975585192419"/>
        <bgColor indexed="64"/>
      </patternFill>
    </fill>
    <fill>
      <patternFill patternType="solid">
        <fgColor rgb="FFF2F2F2"/>
        <bgColor indexed="64"/>
      </patternFill>
    </fill>
    <fill>
      <patternFill patternType="solid">
        <fgColor theme="6" tint="0.599993896298105"/>
        <bgColor indexed="64"/>
      </patternFill>
    </fill>
    <fill>
      <patternFill patternType="solid">
        <fgColor theme="8" tint="0.799981688894314"/>
        <bgColor indexed="64"/>
      </patternFill>
    </fill>
    <fill>
      <patternFill patternType="solid">
        <fgColor theme="5"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8" tint="0.399975585192419"/>
        <bgColor indexed="64"/>
      </patternFill>
    </fill>
    <fill>
      <patternFill patternType="solid">
        <fgColor theme="5" tint="0.599993896298105"/>
        <bgColor indexed="64"/>
      </patternFill>
    </fill>
    <fill>
      <patternFill patternType="solid">
        <fgColor theme="7" tint="0.399975585192419"/>
        <bgColor indexed="64"/>
      </patternFill>
    </fill>
    <fill>
      <patternFill patternType="solid">
        <fgColor theme="6" tint="0.399975585192419"/>
        <bgColor indexed="64"/>
      </patternFill>
    </fill>
    <fill>
      <patternFill patternType="solid">
        <fgColor theme="6" tint="0.799981688894314"/>
        <bgColor indexed="64"/>
      </patternFill>
    </fill>
    <fill>
      <patternFill patternType="solid">
        <fgColor theme="5"/>
        <bgColor indexed="64"/>
      </patternFill>
    </fill>
    <fill>
      <patternFill patternType="solid">
        <fgColor theme="4" tint="0.799981688894314"/>
        <bgColor indexed="64"/>
      </patternFill>
    </fill>
  </fills>
  <borders count="9">
    <border>
      <left/>
      <right/>
      <top/>
      <bottom/>
      <diagonal/>
    </border>
    <border>
      <left/>
      <right/>
      <top/>
      <bottom style="medium">
        <color theme="4"/>
      </bottom>
      <diagonal/>
    </border>
    <border>
      <left style="thin">
        <color rgb="FF7F7F7F"/>
      </left>
      <right style="thin">
        <color rgb="FF7F7F7F"/>
      </right>
      <top style="thin">
        <color rgb="FF7F7F7F"/>
      </top>
      <bottom style="thin">
        <color rgb="FF7F7F7F"/>
      </bottom>
      <diagonal/>
    </border>
    <border>
      <left/>
      <right/>
      <top style="thin">
        <color theme="4"/>
      </top>
      <bottom style="double">
        <color theme="4"/>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style="thin">
        <color rgb="FF3F3F3F"/>
      </left>
      <right style="thin">
        <color rgb="FF3F3F3F"/>
      </right>
      <top style="thin">
        <color rgb="FF3F3F3F"/>
      </top>
      <bottom style="thin">
        <color rgb="FF3F3F3F"/>
      </bottom>
      <diagonal/>
    </border>
    <border>
      <left/>
      <right/>
      <top/>
      <bottom style="medium">
        <color theme="4" tint="0.499984740745262"/>
      </bottom>
      <diagonal/>
    </border>
    <border>
      <left/>
      <right/>
      <top/>
      <bottom style="double">
        <color rgb="FFFF8001"/>
      </bottom>
      <diagonal/>
    </border>
  </borders>
  <cellStyleXfs count="49">
    <xf numFmtId="0" fontId="0" fillId="0" borderId="0"/>
    <xf numFmtId="0" fontId="8" fillId="18" borderId="0" applyNumberFormat="0" applyBorder="0" applyAlignment="0" applyProtection="0">
      <alignment vertical="center"/>
    </xf>
    <xf numFmtId="0" fontId="7" fillId="24" borderId="0" applyNumberFormat="0" applyBorder="0" applyAlignment="0" applyProtection="0">
      <alignment vertical="center"/>
    </xf>
    <xf numFmtId="0" fontId="8" fillId="23" borderId="0" applyNumberFormat="0" applyBorder="0" applyAlignment="0" applyProtection="0">
      <alignment vertical="center"/>
    </xf>
    <xf numFmtId="0" fontId="13" fillId="11" borderId="2" applyNumberFormat="0" applyAlignment="0" applyProtection="0">
      <alignment vertical="center"/>
    </xf>
    <xf numFmtId="0" fontId="7" fillId="20" borderId="0" applyNumberFormat="0" applyBorder="0" applyAlignment="0" applyProtection="0">
      <alignment vertical="center"/>
    </xf>
    <xf numFmtId="0" fontId="7" fillId="30" borderId="0" applyNumberFormat="0" applyBorder="0" applyAlignment="0" applyProtection="0">
      <alignment vertical="center"/>
    </xf>
    <xf numFmtId="44" fontId="0" fillId="0" borderId="0" applyFont="0" applyFill="0" applyBorder="0" applyAlignment="0" applyProtection="0">
      <alignment vertical="center"/>
    </xf>
    <xf numFmtId="0" fontId="8" fillId="12" borderId="0" applyNumberFormat="0" applyBorder="0" applyAlignment="0" applyProtection="0">
      <alignment vertical="center"/>
    </xf>
    <xf numFmtId="9" fontId="0" fillId="0" borderId="0" applyFont="0" applyFill="0" applyBorder="0" applyAlignment="0" applyProtection="0">
      <alignment vertical="center"/>
    </xf>
    <xf numFmtId="0" fontId="8" fillId="22" borderId="0" applyNumberFormat="0" applyBorder="0" applyAlignment="0" applyProtection="0">
      <alignment vertical="center"/>
    </xf>
    <xf numFmtId="0" fontId="8" fillId="26" borderId="0" applyNumberFormat="0" applyBorder="0" applyAlignment="0" applyProtection="0">
      <alignment vertical="center"/>
    </xf>
    <xf numFmtId="0" fontId="8" fillId="31" borderId="0" applyNumberFormat="0" applyBorder="0" applyAlignment="0" applyProtection="0">
      <alignment vertical="center"/>
    </xf>
    <xf numFmtId="0" fontId="8" fillId="16" borderId="0" applyNumberFormat="0" applyBorder="0" applyAlignment="0" applyProtection="0">
      <alignment vertical="center"/>
    </xf>
    <xf numFmtId="0" fontId="8" fillId="28" borderId="0" applyNumberFormat="0" applyBorder="0" applyAlignment="0" applyProtection="0">
      <alignment vertical="center"/>
    </xf>
    <xf numFmtId="0" fontId="19" fillId="19" borderId="2" applyNumberFormat="0" applyAlignment="0" applyProtection="0">
      <alignment vertical="center"/>
    </xf>
    <xf numFmtId="0" fontId="8" fillId="14" borderId="0" applyNumberFormat="0" applyBorder="0" applyAlignment="0" applyProtection="0">
      <alignment vertical="center"/>
    </xf>
    <xf numFmtId="0" fontId="4" fillId="3" borderId="0"/>
    <xf numFmtId="0" fontId="7" fillId="21" borderId="0" applyNumberFormat="0" applyBorder="0" applyAlignment="0" applyProtection="0">
      <alignment vertical="center"/>
    </xf>
    <xf numFmtId="0" fontId="2" fillId="2" borderId="0"/>
    <xf numFmtId="0" fontId="7" fillId="32" borderId="0" applyNumberFormat="0" applyBorder="0" applyAlignment="0" applyProtection="0">
      <alignment vertical="center"/>
    </xf>
    <xf numFmtId="0" fontId="14" fillId="0" borderId="3" applyNumberFormat="0" applyFill="0" applyAlignment="0" applyProtection="0">
      <alignment vertical="center"/>
    </xf>
    <xf numFmtId="0" fontId="6" fillId="4" borderId="0"/>
    <xf numFmtId="0" fontId="15" fillId="13" borderId="4" applyNumberFormat="0" applyAlignment="0" applyProtection="0">
      <alignment vertical="center"/>
    </xf>
    <xf numFmtId="0" fontId="17" fillId="19" borderId="6" applyNumberFormat="0" applyAlignment="0" applyProtection="0">
      <alignment vertical="center"/>
    </xf>
    <xf numFmtId="0" fontId="12" fillId="0" borderId="1" applyNumberFormat="0" applyFill="0" applyAlignment="0" applyProtection="0">
      <alignment vertical="center"/>
    </xf>
    <xf numFmtId="0" fontId="11" fillId="0" borderId="0" applyNumberFormat="0" applyFill="0" applyBorder="0" applyAlignment="0" applyProtection="0">
      <alignment vertical="center"/>
    </xf>
    <xf numFmtId="0" fontId="7" fillId="10" borderId="0" applyNumberFormat="0" applyBorder="0" applyAlignment="0" applyProtection="0">
      <alignment vertical="center"/>
    </xf>
    <xf numFmtId="0" fontId="18" fillId="0" borderId="0" applyNumberFormat="0" applyFill="0" applyBorder="0" applyAlignment="0" applyProtection="0">
      <alignment vertical="center"/>
    </xf>
    <xf numFmtId="42" fontId="0" fillId="0" borderId="0" applyFont="0" applyFill="0" applyBorder="0" applyAlignment="0" applyProtection="0">
      <alignment vertical="center"/>
    </xf>
    <xf numFmtId="0" fontId="7" fillId="25" borderId="0" applyNumberFormat="0" applyBorder="0" applyAlignment="0" applyProtection="0">
      <alignment vertical="center"/>
    </xf>
    <xf numFmtId="43" fontId="0" fillId="0" borderId="0" applyFont="0" applyFill="0" applyBorder="0" applyAlignment="0" applyProtection="0">
      <alignment vertical="center"/>
    </xf>
    <xf numFmtId="0" fontId="21" fillId="0" borderId="0" applyNumberFormat="0" applyFill="0" applyBorder="0" applyAlignment="0" applyProtection="0">
      <alignment vertical="center"/>
    </xf>
    <xf numFmtId="0" fontId="16" fillId="0" borderId="0" applyNumberFormat="0" applyFill="0" applyBorder="0" applyAlignment="0" applyProtection="0">
      <alignment vertical="center"/>
    </xf>
    <xf numFmtId="0" fontId="7" fillId="27" borderId="0" applyNumberFormat="0" applyBorder="0" applyAlignment="0" applyProtection="0">
      <alignment vertical="center"/>
    </xf>
    <xf numFmtId="0" fontId="10" fillId="0" borderId="0" applyNumberFormat="0" applyFill="0" applyBorder="0" applyAlignment="0" applyProtection="0">
      <alignment vertical="center"/>
    </xf>
    <xf numFmtId="0" fontId="8" fillId="29" borderId="0" applyNumberFormat="0" applyBorder="0" applyAlignment="0" applyProtection="0">
      <alignment vertical="center"/>
    </xf>
    <xf numFmtId="0" fontId="0" fillId="15" borderId="5" applyNumberFormat="0" applyFont="0" applyAlignment="0" applyProtection="0">
      <alignment vertical="center"/>
    </xf>
    <xf numFmtId="0" fontId="7" fillId="9" borderId="0" applyNumberFormat="0" applyBorder="0" applyAlignment="0" applyProtection="0">
      <alignment vertical="center"/>
    </xf>
    <xf numFmtId="0" fontId="8" fillId="17" borderId="0" applyNumberFormat="0" applyBorder="0" applyAlignment="0" applyProtection="0">
      <alignment vertical="center"/>
    </xf>
    <xf numFmtId="0" fontId="7" fillId="8" borderId="0" applyNumberFormat="0" applyBorder="0" applyAlignment="0" applyProtection="0">
      <alignment vertical="center"/>
    </xf>
    <xf numFmtId="0" fontId="1" fillId="0" borderId="0"/>
    <xf numFmtId="41" fontId="0" fillId="0" borderId="0" applyFont="0" applyFill="0" applyBorder="0" applyAlignment="0" applyProtection="0">
      <alignment vertical="center"/>
    </xf>
    <xf numFmtId="0" fontId="9" fillId="0" borderId="1" applyNumberFormat="0" applyFill="0" applyAlignment="0" applyProtection="0">
      <alignment vertical="center"/>
    </xf>
    <xf numFmtId="0" fontId="7" fillId="7" borderId="0" applyNumberFormat="0" applyBorder="0" applyAlignment="0" applyProtection="0">
      <alignment vertical="center"/>
    </xf>
    <xf numFmtId="0" fontId="18" fillId="0" borderId="7" applyNumberFormat="0" applyFill="0" applyAlignment="0" applyProtection="0">
      <alignment vertical="center"/>
    </xf>
    <xf numFmtId="0" fontId="8" fillId="6" borderId="0" applyNumberFormat="0" applyBorder="0" applyAlignment="0" applyProtection="0">
      <alignment vertical="center"/>
    </xf>
    <xf numFmtId="0" fontId="7" fillId="5" borderId="0" applyNumberFormat="0" applyBorder="0" applyAlignment="0" applyProtection="0">
      <alignment vertical="center"/>
    </xf>
    <xf numFmtId="0" fontId="20" fillId="0" borderId="8" applyNumberFormat="0" applyFill="0" applyAlignment="0" applyProtection="0">
      <alignment vertical="center"/>
    </xf>
  </cellStyleXfs>
  <cellXfs count="9">
    <xf numFmtId="0" fontId="0" fillId="0" borderId="0" xfId="0"/>
    <xf numFmtId="0" fontId="1" fillId="0" borderId="0" xfId="41"/>
    <xf numFmtId="0" fontId="2" fillId="2" borderId="0" xfId="19"/>
    <xf numFmtId="0" fontId="3" fillId="0" borderId="0" xfId="0" applyNumberFormat="1" applyFont="1" applyAlignment="1">
      <alignment vertical="center"/>
    </xf>
    <xf numFmtId="0" fontId="3" fillId="0" borderId="0" xfId="0" applyNumberFormat="1" applyFont="1"/>
    <xf numFmtId="0" fontId="4" fillId="3" borderId="0" xfId="17"/>
    <xf numFmtId="14" fontId="0" fillId="0" borderId="0" xfId="0" applyNumberFormat="1"/>
    <xf numFmtId="0" fontId="5" fillId="3" borderId="0" xfId="17"/>
    <xf numFmtId="0" fontId="6" fillId="4" borderId="0" xfId="22"/>
  </cellXfs>
  <cellStyles count="49">
    <cellStyle name="常规" xfId="0" builtinId="0"/>
    <cellStyle name="60% - 强调文字颜色 6" xfId="1" builtinId="52"/>
    <cellStyle name="20% - 强调文字颜色 4" xfId="2" builtinId="42"/>
    <cellStyle name="强调文字颜色 4" xfId="3" builtinId="41"/>
    <cellStyle name="输入" xfId="4" builtinId="20"/>
    <cellStyle name="40% - 强调文字颜色 3" xfId="5" builtinId="39"/>
    <cellStyle name="20% - 强调文字颜色 3" xfId="6" builtinId="38"/>
    <cellStyle name="货币" xfId="7" builtinId="4"/>
    <cellStyle name="强调文字颜色 3" xfId="8" builtinId="37"/>
    <cellStyle name="百分比" xfId="9" builtinId="5"/>
    <cellStyle name="60% - 强调文字颜色 2" xfId="10" builtinId="36"/>
    <cellStyle name="60% - 强调文字颜色 5" xfId="11" builtinId="48"/>
    <cellStyle name="强调文字颜色 2" xfId="12" builtinId="33"/>
    <cellStyle name="60% - 强调文字颜色 1" xfId="13" builtinId="32"/>
    <cellStyle name="60% - 强调文字颜色 4" xfId="14" builtinId="44"/>
    <cellStyle name="计算" xfId="15" builtinId="22"/>
    <cellStyle name="强调文字颜色 1" xfId="16" builtinId="29"/>
    <cellStyle name="适中" xfId="17" builtinId="28"/>
    <cellStyle name="20% - 强调文字颜色 5" xfId="18" builtinId="46"/>
    <cellStyle name="好" xfId="19" builtinId="26"/>
    <cellStyle name="20% - 强调文字颜色 1" xfId="20" builtinId="30"/>
    <cellStyle name="汇总" xfId="21" builtinId="25"/>
    <cellStyle name="差" xfId="22" builtinId="27"/>
    <cellStyle name="检查单元格" xfId="23" builtinId="23"/>
    <cellStyle name="输出" xfId="24" builtinId="21"/>
    <cellStyle name="标题 1" xfId="25" builtinId="16"/>
    <cellStyle name="解释性文本" xfId="26" builtinId="53"/>
    <cellStyle name="20% - 强调文字颜色 2" xfId="27" builtinId="34"/>
    <cellStyle name="标题 4" xfId="28" builtinId="19"/>
    <cellStyle name="货币[0]" xfId="29" builtinId="7"/>
    <cellStyle name="40% - 强调文字颜色 4" xfId="30" builtinId="43"/>
    <cellStyle name="千位分隔" xfId="31" builtinId="3"/>
    <cellStyle name="已访问的超链接" xfId="32" builtinId="9"/>
    <cellStyle name="标题" xfId="33" builtinId="15"/>
    <cellStyle name="40% - 强调文字颜色 2" xfId="34" builtinId="35"/>
    <cellStyle name="警告文本" xfId="35" builtinId="11"/>
    <cellStyle name="60% - 强调文字颜色 3" xfId="36" builtinId="40"/>
    <cellStyle name="注释" xfId="37" builtinId="10"/>
    <cellStyle name="20% - 强调文字颜色 6" xfId="38" builtinId="50"/>
    <cellStyle name="强调文字颜色 5" xfId="39" builtinId="45"/>
    <cellStyle name="40% - 强调文字颜色 6" xfId="40" builtinId="51"/>
    <cellStyle name="超链接" xfId="41" builtinId="8"/>
    <cellStyle name="千位分隔[0]" xfId="42" builtinId="6"/>
    <cellStyle name="标题 2" xfId="43" builtinId="17"/>
    <cellStyle name="40% - 强调文字颜色 5" xfId="44" builtinId="47"/>
    <cellStyle name="标题 3" xfId="45" builtinId="18"/>
    <cellStyle name="强调文字颜色 6" xfId="46" builtinId="49"/>
    <cellStyle name="40% - 强调文字颜色 1" xfId="47" builtinId="31"/>
    <cellStyle name="链接单元格" xfId="48" builtinId="24"/>
  </cellStyles>
  <tableStyles count="0" defaultTableStyle="TableStyleMedium2" defaultPivotStyle="PivotStyleLight16"/>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8" Type="http://schemas.openxmlformats.org/officeDocument/2006/relationships/styles" Target="styles.xml"/><Relationship Id="rId7" Type="http://schemas.openxmlformats.org/officeDocument/2006/relationships/customXml" Target="../customXml/item2.xml"/><Relationship Id="rId6" Type="http://schemas.openxmlformats.org/officeDocument/2006/relationships/customXml" Target="../customXml/item1.xml"/><Relationship Id="rId5" Type="http://schemas.openxmlformats.org/officeDocument/2006/relationships/sharedStrings" Target="sharedStrings.xml"/><Relationship Id="rId4" Type="http://schemas.openxmlformats.org/officeDocument/2006/relationships/theme" Target="theme/theme1.xml"/><Relationship Id="rId3" Type="http://schemas.openxmlformats.org/officeDocument/2006/relationships/worksheet" Target="worksheets/sheet3.xml"/><Relationship Id="rId2" Type="http://schemas.openxmlformats.org/officeDocument/2006/relationships/worksheet" Target="worksheets/sheet2.xml"/><Relationship Id="rId1" Type="http://schemas.openxmlformats.org/officeDocument/2006/relationships/worksheet" Target="worksheets/sheet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a:ea typeface=""/>
        <a:cs typeface=""/>
        <a:font script="Jpan" typeface="Yu Gothic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Yu Gothic"/>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T269"/>
  <sheetViews>
    <sheetView tabSelected="1" workbookViewId="0">
      <selection activeCell="K2" sqref="K2:Q269"/>
    </sheetView>
  </sheetViews>
  <sheetFormatPr defaultColWidth="9" defaultRowHeight="14.25"/>
  <cols>
    <col min="13" max="14" width="10.4666666666667" customWidth="1"/>
  </cols>
  <sheetData>
    <row r="1" spans="1:20">
      <c r="A1" s="2" t="s">
        <v>0</v>
      </c>
      <c r="B1" s="2" t="s">
        <v>1</v>
      </c>
      <c r="C1" s="2" t="s">
        <v>2</v>
      </c>
      <c r="D1" s="2" t="s">
        <v>3</v>
      </c>
      <c r="E1" s="2" t="s">
        <v>4</v>
      </c>
      <c r="F1" s="2" t="s">
        <v>5</v>
      </c>
      <c r="G1" s="2" t="s">
        <v>6</v>
      </c>
      <c r="H1" s="2" t="s">
        <v>7</v>
      </c>
      <c r="I1" s="2" t="s">
        <v>8</v>
      </c>
      <c r="J1" s="2" t="s">
        <v>9</v>
      </c>
      <c r="K1" s="5" t="s">
        <v>10</v>
      </c>
      <c r="L1" s="5" t="s">
        <v>11</v>
      </c>
      <c r="M1" s="5" t="s">
        <v>12</v>
      </c>
      <c r="N1" s="7" t="s">
        <v>13</v>
      </c>
      <c r="O1" s="7" t="s">
        <v>14</v>
      </c>
      <c r="P1" s="5" t="s">
        <v>15</v>
      </c>
      <c r="Q1" s="5" t="s">
        <v>16</v>
      </c>
      <c r="R1" s="5" t="s">
        <v>17</v>
      </c>
      <c r="S1" s="5"/>
      <c r="T1" s="8"/>
    </row>
    <row r="2" spans="1:20">
      <c r="A2" t="str">
        <f t="shared" ref="A2:A65" si="0">_xlfn.CONCAT("NodeRed-16-",TEXT(ROW()-1,"000000"))</f>
        <v>NodeRed-16-000001</v>
      </c>
      <c r="B2" t="s">
        <v>18</v>
      </c>
      <c r="C2" s="3" t="s">
        <v>19</v>
      </c>
      <c r="D2" s="3" t="s">
        <v>20</v>
      </c>
      <c r="E2" s="3" t="s">
        <v>21</v>
      </c>
      <c r="F2" s="4" t="s">
        <v>22</v>
      </c>
      <c r="G2" s="3" t="s">
        <v>23</v>
      </c>
      <c r="H2" t="s">
        <v>24</v>
      </c>
      <c r="I2" t="s">
        <v>25</v>
      </c>
      <c r="J2" s="6">
        <v>46014</v>
      </c>
      <c r="K2" t="s">
        <v>26</v>
      </c>
      <c r="L2" t="s">
        <v>18</v>
      </c>
      <c r="M2" s="3" t="s">
        <v>27</v>
      </c>
      <c r="N2" t="s">
        <v>28</v>
      </c>
      <c r="O2" t="s">
        <v>18</v>
      </c>
      <c r="P2" t="s">
        <v>29</v>
      </c>
      <c r="Q2" t="s">
        <v>30</v>
      </c>
      <c r="S2" t="s">
        <v>18</v>
      </c>
      <c r="T2" t="s">
        <v>18</v>
      </c>
    </row>
    <row r="3" spans="1:20">
      <c r="A3" t="str">
        <f t="shared" si="0"/>
        <v>NodeRed-16-000002</v>
      </c>
      <c r="B3" t="s">
        <v>18</v>
      </c>
      <c r="C3" s="3" t="s">
        <v>19</v>
      </c>
      <c r="D3" s="3" t="s">
        <v>20</v>
      </c>
      <c r="E3" s="3" t="s">
        <v>21</v>
      </c>
      <c r="F3" s="4" t="s">
        <v>22</v>
      </c>
      <c r="G3" s="3" t="s">
        <v>23</v>
      </c>
      <c r="H3" t="s">
        <v>31</v>
      </c>
      <c r="I3" t="s">
        <v>25</v>
      </c>
      <c r="J3" s="6">
        <v>46014</v>
      </c>
      <c r="K3" t="s">
        <v>32</v>
      </c>
      <c r="L3" t="s">
        <v>18</v>
      </c>
      <c r="M3" s="3" t="s">
        <v>27</v>
      </c>
      <c r="N3" t="s">
        <v>33</v>
      </c>
      <c r="O3" t="s">
        <v>18</v>
      </c>
      <c r="P3" t="s">
        <v>34</v>
      </c>
      <c r="Q3" t="s">
        <v>35</v>
      </c>
      <c r="S3" t="s">
        <v>18</v>
      </c>
      <c r="T3" t="s">
        <v>18</v>
      </c>
    </row>
    <row r="4" spans="1:20">
      <c r="A4" t="str">
        <f t="shared" si="0"/>
        <v>NodeRed-16-000003</v>
      </c>
      <c r="B4" t="s">
        <v>18</v>
      </c>
      <c r="C4" s="3" t="s">
        <v>19</v>
      </c>
      <c r="D4" s="3" t="s">
        <v>20</v>
      </c>
      <c r="E4" s="3" t="s">
        <v>21</v>
      </c>
      <c r="F4" s="4" t="s">
        <v>22</v>
      </c>
      <c r="G4" s="3" t="s">
        <v>23</v>
      </c>
      <c r="H4" t="s">
        <v>36</v>
      </c>
      <c r="I4" t="s">
        <v>25</v>
      </c>
      <c r="J4" s="6">
        <v>46014</v>
      </c>
      <c r="K4" t="s">
        <v>37</v>
      </c>
      <c r="L4" t="s">
        <v>18</v>
      </c>
      <c r="M4" s="3" t="s">
        <v>27</v>
      </c>
      <c r="N4" t="s">
        <v>38</v>
      </c>
      <c r="O4" t="s">
        <v>18</v>
      </c>
      <c r="P4" t="s">
        <v>39</v>
      </c>
      <c r="Q4" t="s">
        <v>40</v>
      </c>
      <c r="S4" t="s">
        <v>18</v>
      </c>
      <c r="T4" t="s">
        <v>18</v>
      </c>
    </row>
    <row r="5" spans="1:20">
      <c r="A5" t="str">
        <f t="shared" si="0"/>
        <v>NodeRed-16-000004</v>
      </c>
      <c r="B5" t="s">
        <v>18</v>
      </c>
      <c r="C5" s="3" t="s">
        <v>19</v>
      </c>
      <c r="D5" s="3" t="s">
        <v>20</v>
      </c>
      <c r="E5" s="3" t="s">
        <v>21</v>
      </c>
      <c r="F5" s="4" t="s">
        <v>22</v>
      </c>
      <c r="G5" s="3" t="s">
        <v>23</v>
      </c>
      <c r="H5" t="s">
        <v>41</v>
      </c>
      <c r="I5" t="s">
        <v>25</v>
      </c>
      <c r="J5" s="6">
        <v>46014</v>
      </c>
      <c r="K5" t="s">
        <v>42</v>
      </c>
      <c r="L5" t="s">
        <v>18</v>
      </c>
      <c r="M5" s="3" t="s">
        <v>27</v>
      </c>
      <c r="N5" t="s">
        <v>43</v>
      </c>
      <c r="O5" t="s">
        <v>18</v>
      </c>
      <c r="P5" t="s">
        <v>44</v>
      </c>
      <c r="Q5" t="s">
        <v>45</v>
      </c>
      <c r="S5" t="s">
        <v>18</v>
      </c>
      <c r="T5" t="s">
        <v>18</v>
      </c>
    </row>
    <row r="6" spans="1:20">
      <c r="A6" t="str">
        <f t="shared" si="0"/>
        <v>NodeRed-16-000005</v>
      </c>
      <c r="B6" t="s">
        <v>18</v>
      </c>
      <c r="C6" s="3" t="s">
        <v>19</v>
      </c>
      <c r="D6" s="3" t="s">
        <v>20</v>
      </c>
      <c r="E6" s="3" t="s">
        <v>21</v>
      </c>
      <c r="F6" s="4" t="s">
        <v>22</v>
      </c>
      <c r="G6" s="3" t="s">
        <v>23</v>
      </c>
      <c r="H6" t="s">
        <v>46</v>
      </c>
      <c r="I6" t="s">
        <v>25</v>
      </c>
      <c r="J6" s="6">
        <v>46014</v>
      </c>
      <c r="K6" t="s">
        <v>47</v>
      </c>
      <c r="L6" t="s">
        <v>18</v>
      </c>
      <c r="M6" s="3" t="s">
        <v>27</v>
      </c>
      <c r="N6" t="s">
        <v>48</v>
      </c>
      <c r="O6" t="s">
        <v>18</v>
      </c>
      <c r="P6" t="s">
        <v>49</v>
      </c>
      <c r="Q6" t="s">
        <v>50</v>
      </c>
      <c r="S6" t="s">
        <v>18</v>
      </c>
      <c r="T6" t="s">
        <v>18</v>
      </c>
    </row>
    <row r="7" spans="1:20">
      <c r="A7" t="str">
        <f t="shared" si="0"/>
        <v>NodeRed-16-000006</v>
      </c>
      <c r="B7" t="s">
        <v>18</v>
      </c>
      <c r="C7" s="3" t="s">
        <v>19</v>
      </c>
      <c r="D7" s="3" t="s">
        <v>20</v>
      </c>
      <c r="E7" s="3" t="s">
        <v>21</v>
      </c>
      <c r="F7" s="4" t="s">
        <v>22</v>
      </c>
      <c r="G7" s="3" t="s">
        <v>23</v>
      </c>
      <c r="H7" t="s">
        <v>51</v>
      </c>
      <c r="I7" t="s">
        <v>25</v>
      </c>
      <c r="J7" s="6">
        <v>46014</v>
      </c>
      <c r="K7" t="s">
        <v>52</v>
      </c>
      <c r="L7" t="s">
        <v>18</v>
      </c>
      <c r="M7" s="3" t="s">
        <v>27</v>
      </c>
      <c r="N7" t="s">
        <v>53</v>
      </c>
      <c r="O7" t="s">
        <v>18</v>
      </c>
      <c r="P7" t="s">
        <v>54</v>
      </c>
      <c r="Q7" t="s">
        <v>55</v>
      </c>
      <c r="S7" t="s">
        <v>18</v>
      </c>
      <c r="T7" t="s">
        <v>18</v>
      </c>
    </row>
    <row r="8" spans="1:20">
      <c r="A8" t="str">
        <f t="shared" si="0"/>
        <v>NodeRed-16-000007</v>
      </c>
      <c r="B8" t="s">
        <v>18</v>
      </c>
      <c r="C8" s="3" t="s">
        <v>19</v>
      </c>
      <c r="D8" s="3" t="s">
        <v>20</v>
      </c>
      <c r="E8" s="3" t="s">
        <v>21</v>
      </c>
      <c r="F8" s="4" t="s">
        <v>22</v>
      </c>
      <c r="G8" s="3" t="s">
        <v>23</v>
      </c>
      <c r="H8" t="s">
        <v>56</v>
      </c>
      <c r="I8" t="s">
        <v>25</v>
      </c>
      <c r="J8" s="6">
        <v>46014</v>
      </c>
      <c r="K8" t="s">
        <v>57</v>
      </c>
      <c r="L8" t="s">
        <v>18</v>
      </c>
      <c r="M8" s="3" t="s">
        <v>27</v>
      </c>
      <c r="N8" t="s">
        <v>58</v>
      </c>
      <c r="O8" t="s">
        <v>18</v>
      </c>
      <c r="P8" t="s">
        <v>59</v>
      </c>
      <c r="Q8" t="s">
        <v>60</v>
      </c>
      <c r="S8" t="s">
        <v>18</v>
      </c>
      <c r="T8" t="s">
        <v>18</v>
      </c>
    </row>
    <row r="9" spans="1:20">
      <c r="A9" t="str">
        <f t="shared" si="0"/>
        <v>NodeRed-16-000008</v>
      </c>
      <c r="B9" t="s">
        <v>18</v>
      </c>
      <c r="C9" s="3" t="s">
        <v>19</v>
      </c>
      <c r="D9" s="3" t="s">
        <v>20</v>
      </c>
      <c r="E9" s="3" t="s">
        <v>21</v>
      </c>
      <c r="F9" s="4" t="s">
        <v>22</v>
      </c>
      <c r="G9" s="3" t="s">
        <v>23</v>
      </c>
      <c r="H9" t="s">
        <v>61</v>
      </c>
      <c r="I9" t="s">
        <v>25</v>
      </c>
      <c r="J9" s="6">
        <v>46014</v>
      </c>
      <c r="K9" t="s">
        <v>62</v>
      </c>
      <c r="L9" t="s">
        <v>18</v>
      </c>
      <c r="M9" s="3" t="s">
        <v>27</v>
      </c>
      <c r="N9" t="s">
        <v>63</v>
      </c>
      <c r="O9" t="s">
        <v>18</v>
      </c>
      <c r="P9" t="s">
        <v>64</v>
      </c>
      <c r="Q9" t="s">
        <v>65</v>
      </c>
      <c r="S9" t="s">
        <v>18</v>
      </c>
      <c r="T9" t="s">
        <v>18</v>
      </c>
    </row>
    <row r="10" spans="1:20">
      <c r="A10" t="str">
        <f t="shared" si="0"/>
        <v>NodeRed-16-000009</v>
      </c>
      <c r="B10" t="s">
        <v>18</v>
      </c>
      <c r="C10" s="3" t="s">
        <v>19</v>
      </c>
      <c r="D10" s="3" t="s">
        <v>20</v>
      </c>
      <c r="E10" s="3" t="s">
        <v>21</v>
      </c>
      <c r="F10" s="4" t="s">
        <v>22</v>
      </c>
      <c r="G10" s="3" t="s">
        <v>23</v>
      </c>
      <c r="H10" t="s">
        <v>66</v>
      </c>
      <c r="I10" t="s">
        <v>25</v>
      </c>
      <c r="J10" s="6">
        <v>46014</v>
      </c>
      <c r="K10" t="s">
        <v>67</v>
      </c>
      <c r="L10" t="s">
        <v>18</v>
      </c>
      <c r="M10" s="3" t="s">
        <v>27</v>
      </c>
      <c r="N10" t="s">
        <v>68</v>
      </c>
      <c r="O10" t="s">
        <v>18</v>
      </c>
      <c r="P10" t="s">
        <v>69</v>
      </c>
      <c r="Q10" t="s">
        <v>70</v>
      </c>
      <c r="S10" t="s">
        <v>18</v>
      </c>
      <c r="T10" t="s">
        <v>18</v>
      </c>
    </row>
    <row r="11" spans="1:20">
      <c r="A11" t="str">
        <f t="shared" si="0"/>
        <v>NodeRed-16-000010</v>
      </c>
      <c r="B11" t="s">
        <v>18</v>
      </c>
      <c r="C11" s="3" t="s">
        <v>19</v>
      </c>
      <c r="D11" s="3" t="s">
        <v>20</v>
      </c>
      <c r="E11" s="3" t="s">
        <v>21</v>
      </c>
      <c r="F11" s="4" t="s">
        <v>22</v>
      </c>
      <c r="G11" s="3" t="s">
        <v>23</v>
      </c>
      <c r="H11" t="s">
        <v>71</v>
      </c>
      <c r="I11" t="s">
        <v>25</v>
      </c>
      <c r="J11" s="6">
        <v>46014</v>
      </c>
      <c r="K11" t="s">
        <v>72</v>
      </c>
      <c r="L11" t="s">
        <v>18</v>
      </c>
      <c r="M11" s="3" t="s">
        <v>27</v>
      </c>
      <c r="N11" t="s">
        <v>73</v>
      </c>
      <c r="O11" t="s">
        <v>18</v>
      </c>
      <c r="P11" t="s">
        <v>74</v>
      </c>
      <c r="Q11" t="s">
        <v>75</v>
      </c>
      <c r="S11" t="s">
        <v>18</v>
      </c>
      <c r="T11" t="s">
        <v>18</v>
      </c>
    </row>
    <row r="12" spans="1:20">
      <c r="A12" t="str">
        <f t="shared" si="0"/>
        <v>NodeRed-16-000011</v>
      </c>
      <c r="B12" t="s">
        <v>18</v>
      </c>
      <c r="C12" s="3" t="s">
        <v>19</v>
      </c>
      <c r="D12" s="3" t="s">
        <v>20</v>
      </c>
      <c r="E12" s="3" t="s">
        <v>21</v>
      </c>
      <c r="F12" s="4" t="s">
        <v>22</v>
      </c>
      <c r="G12" s="3" t="s">
        <v>23</v>
      </c>
      <c r="H12" t="s">
        <v>76</v>
      </c>
      <c r="I12" t="s">
        <v>25</v>
      </c>
      <c r="J12" s="6">
        <v>46014</v>
      </c>
      <c r="K12" t="s">
        <v>77</v>
      </c>
      <c r="L12" t="s">
        <v>18</v>
      </c>
      <c r="M12" s="3" t="s">
        <v>27</v>
      </c>
      <c r="N12" t="s">
        <v>78</v>
      </c>
      <c r="O12" t="s">
        <v>18</v>
      </c>
      <c r="P12" t="s">
        <v>79</v>
      </c>
      <c r="Q12" t="s">
        <v>80</v>
      </c>
      <c r="S12" t="s">
        <v>18</v>
      </c>
      <c r="T12" t="s">
        <v>18</v>
      </c>
    </row>
    <row r="13" spans="1:20">
      <c r="A13" t="str">
        <f t="shared" si="0"/>
        <v>NodeRed-16-000012</v>
      </c>
      <c r="B13" t="s">
        <v>18</v>
      </c>
      <c r="C13" s="3" t="s">
        <v>19</v>
      </c>
      <c r="D13" s="3" t="s">
        <v>20</v>
      </c>
      <c r="E13" s="3" t="s">
        <v>21</v>
      </c>
      <c r="F13" s="4" t="s">
        <v>22</v>
      </c>
      <c r="G13" s="3" t="s">
        <v>23</v>
      </c>
      <c r="H13" t="s">
        <v>81</v>
      </c>
      <c r="I13" t="s">
        <v>25</v>
      </c>
      <c r="J13" s="6">
        <v>46014</v>
      </c>
      <c r="K13" t="s">
        <v>82</v>
      </c>
      <c r="L13" t="s">
        <v>18</v>
      </c>
      <c r="M13" s="3" t="s">
        <v>27</v>
      </c>
      <c r="N13" t="s">
        <v>83</v>
      </c>
      <c r="O13" t="s">
        <v>18</v>
      </c>
      <c r="P13" t="s">
        <v>84</v>
      </c>
      <c r="Q13" t="s">
        <v>85</v>
      </c>
      <c r="S13" t="s">
        <v>18</v>
      </c>
      <c r="T13" t="s">
        <v>18</v>
      </c>
    </row>
    <row r="14" spans="1:20">
      <c r="A14" t="str">
        <f t="shared" si="0"/>
        <v>NodeRed-16-000013</v>
      </c>
      <c r="B14" t="s">
        <v>18</v>
      </c>
      <c r="C14" s="3" t="s">
        <v>19</v>
      </c>
      <c r="D14" s="3" t="s">
        <v>20</v>
      </c>
      <c r="E14" s="3" t="s">
        <v>21</v>
      </c>
      <c r="F14" s="4" t="s">
        <v>22</v>
      </c>
      <c r="G14" s="3" t="s">
        <v>23</v>
      </c>
      <c r="H14" t="s">
        <v>86</v>
      </c>
      <c r="I14" t="s">
        <v>25</v>
      </c>
      <c r="J14" s="6">
        <v>46014</v>
      </c>
      <c r="K14" t="s">
        <v>87</v>
      </c>
      <c r="L14" t="s">
        <v>18</v>
      </c>
      <c r="M14" s="3" t="s">
        <v>27</v>
      </c>
      <c r="N14" t="s">
        <v>88</v>
      </c>
      <c r="O14" t="s">
        <v>18</v>
      </c>
      <c r="P14" t="s">
        <v>89</v>
      </c>
      <c r="Q14" t="s">
        <v>90</v>
      </c>
      <c r="S14" t="s">
        <v>18</v>
      </c>
      <c r="T14" t="s">
        <v>18</v>
      </c>
    </row>
    <row r="15" spans="1:20">
      <c r="A15" t="str">
        <f t="shared" si="0"/>
        <v>NodeRed-16-000014</v>
      </c>
      <c r="B15" t="s">
        <v>18</v>
      </c>
      <c r="C15" s="3" t="s">
        <v>19</v>
      </c>
      <c r="D15" s="3" t="s">
        <v>20</v>
      </c>
      <c r="E15" s="3" t="s">
        <v>21</v>
      </c>
      <c r="F15" s="4" t="s">
        <v>22</v>
      </c>
      <c r="G15" s="3" t="s">
        <v>23</v>
      </c>
      <c r="H15" t="s">
        <v>76</v>
      </c>
      <c r="I15" t="s">
        <v>25</v>
      </c>
      <c r="J15" s="6">
        <v>46014</v>
      </c>
      <c r="K15" t="s">
        <v>91</v>
      </c>
      <c r="L15" t="s">
        <v>18</v>
      </c>
      <c r="M15" s="3" t="s">
        <v>27</v>
      </c>
      <c r="N15" t="s">
        <v>92</v>
      </c>
      <c r="O15" t="s">
        <v>18</v>
      </c>
      <c r="P15" t="s">
        <v>93</v>
      </c>
      <c r="Q15" t="s">
        <v>94</v>
      </c>
      <c r="S15" t="s">
        <v>18</v>
      </c>
      <c r="T15" t="s">
        <v>18</v>
      </c>
    </row>
    <row r="16" spans="1:20">
      <c r="A16" t="str">
        <f t="shared" si="0"/>
        <v>NodeRed-16-000015</v>
      </c>
      <c r="B16" t="s">
        <v>18</v>
      </c>
      <c r="C16" s="3" t="s">
        <v>19</v>
      </c>
      <c r="D16" s="3" t="s">
        <v>20</v>
      </c>
      <c r="E16" s="3" t="s">
        <v>21</v>
      </c>
      <c r="F16" s="4" t="s">
        <v>22</v>
      </c>
      <c r="G16" s="3" t="s">
        <v>23</v>
      </c>
      <c r="H16" t="s">
        <v>95</v>
      </c>
      <c r="I16" t="s">
        <v>25</v>
      </c>
      <c r="J16" s="6">
        <v>46014</v>
      </c>
      <c r="K16" t="s">
        <v>96</v>
      </c>
      <c r="L16" t="s">
        <v>18</v>
      </c>
      <c r="M16" s="3" t="s">
        <v>27</v>
      </c>
      <c r="N16" t="s">
        <v>97</v>
      </c>
      <c r="O16" t="s">
        <v>18</v>
      </c>
      <c r="P16" t="s">
        <v>98</v>
      </c>
      <c r="Q16" t="s">
        <v>99</v>
      </c>
      <c r="S16" t="s">
        <v>18</v>
      </c>
      <c r="T16" t="s">
        <v>18</v>
      </c>
    </row>
    <row r="17" spans="1:20">
      <c r="A17" t="str">
        <f t="shared" si="0"/>
        <v>NodeRed-16-000016</v>
      </c>
      <c r="B17" t="s">
        <v>18</v>
      </c>
      <c r="C17" s="3" t="s">
        <v>19</v>
      </c>
      <c r="D17" s="3" t="s">
        <v>20</v>
      </c>
      <c r="E17" s="3" t="s">
        <v>21</v>
      </c>
      <c r="F17" s="4" t="s">
        <v>22</v>
      </c>
      <c r="G17" s="3" t="s">
        <v>23</v>
      </c>
      <c r="H17" t="s">
        <v>100</v>
      </c>
      <c r="I17" t="s">
        <v>25</v>
      </c>
      <c r="J17" s="6">
        <v>46014</v>
      </c>
      <c r="K17" t="s">
        <v>101</v>
      </c>
      <c r="L17" t="s">
        <v>18</v>
      </c>
      <c r="M17" s="3" t="s">
        <v>27</v>
      </c>
      <c r="N17" t="s">
        <v>102</v>
      </c>
      <c r="O17" t="s">
        <v>18</v>
      </c>
      <c r="P17" t="s">
        <v>103</v>
      </c>
      <c r="Q17" t="s">
        <v>104</v>
      </c>
      <c r="S17" t="s">
        <v>18</v>
      </c>
      <c r="T17" t="s">
        <v>18</v>
      </c>
    </row>
    <row r="18" spans="1:20">
      <c r="A18" t="str">
        <f t="shared" si="0"/>
        <v>NodeRed-16-000017</v>
      </c>
      <c r="B18" t="s">
        <v>18</v>
      </c>
      <c r="C18" s="3" t="s">
        <v>19</v>
      </c>
      <c r="D18" s="3" t="s">
        <v>20</v>
      </c>
      <c r="E18" s="3" t="s">
        <v>21</v>
      </c>
      <c r="F18" s="4" t="s">
        <v>22</v>
      </c>
      <c r="G18" s="3" t="s">
        <v>23</v>
      </c>
      <c r="H18" t="s">
        <v>105</v>
      </c>
      <c r="I18" t="s">
        <v>25</v>
      </c>
      <c r="J18" s="6">
        <v>46014</v>
      </c>
      <c r="K18" t="s">
        <v>106</v>
      </c>
      <c r="L18" t="s">
        <v>18</v>
      </c>
      <c r="M18" s="3" t="s">
        <v>27</v>
      </c>
      <c r="N18" t="s">
        <v>107</v>
      </c>
      <c r="O18" t="s">
        <v>18</v>
      </c>
      <c r="P18" t="s">
        <v>108</v>
      </c>
      <c r="Q18" t="s">
        <v>109</v>
      </c>
      <c r="S18" t="s">
        <v>18</v>
      </c>
      <c r="T18" t="s">
        <v>18</v>
      </c>
    </row>
    <row r="19" spans="1:20">
      <c r="A19" t="str">
        <f t="shared" si="0"/>
        <v>NodeRed-16-000018</v>
      </c>
      <c r="B19" t="s">
        <v>18</v>
      </c>
      <c r="C19" s="3" t="s">
        <v>19</v>
      </c>
      <c r="D19" s="3" t="s">
        <v>20</v>
      </c>
      <c r="E19" s="3" t="s">
        <v>21</v>
      </c>
      <c r="F19" s="4" t="s">
        <v>22</v>
      </c>
      <c r="G19" s="3" t="s">
        <v>23</v>
      </c>
      <c r="H19" t="s">
        <v>110</v>
      </c>
      <c r="I19" t="s">
        <v>25</v>
      </c>
      <c r="J19" s="6">
        <v>46014</v>
      </c>
      <c r="K19" t="s">
        <v>111</v>
      </c>
      <c r="L19" t="s">
        <v>18</v>
      </c>
      <c r="M19" s="3" t="s">
        <v>27</v>
      </c>
      <c r="N19" t="s">
        <v>112</v>
      </c>
      <c r="O19" t="s">
        <v>18</v>
      </c>
      <c r="P19" t="s">
        <v>59</v>
      </c>
      <c r="Q19" t="s">
        <v>113</v>
      </c>
      <c r="S19" t="s">
        <v>18</v>
      </c>
      <c r="T19" t="s">
        <v>18</v>
      </c>
    </row>
    <row r="20" spans="1:20">
      <c r="A20" t="str">
        <f t="shared" si="0"/>
        <v>NodeRed-16-000019</v>
      </c>
      <c r="B20" t="s">
        <v>18</v>
      </c>
      <c r="C20" s="3" t="s">
        <v>19</v>
      </c>
      <c r="D20" s="3" t="s">
        <v>20</v>
      </c>
      <c r="E20" s="3" t="s">
        <v>21</v>
      </c>
      <c r="F20" s="4" t="s">
        <v>22</v>
      </c>
      <c r="G20" s="3" t="s">
        <v>23</v>
      </c>
      <c r="H20" t="s">
        <v>114</v>
      </c>
      <c r="I20" t="s">
        <v>25</v>
      </c>
      <c r="J20" s="6">
        <v>46014</v>
      </c>
      <c r="K20" t="s">
        <v>115</v>
      </c>
      <c r="L20" t="s">
        <v>18</v>
      </c>
      <c r="M20" s="3" t="s">
        <v>27</v>
      </c>
      <c r="N20" t="s">
        <v>116</v>
      </c>
      <c r="O20" t="s">
        <v>18</v>
      </c>
      <c r="P20" t="s">
        <v>117</v>
      </c>
      <c r="Q20" t="s">
        <v>118</v>
      </c>
      <c r="S20" t="s">
        <v>18</v>
      </c>
      <c r="T20" t="s">
        <v>18</v>
      </c>
    </row>
    <row r="21" spans="1:20">
      <c r="A21" t="str">
        <f t="shared" si="0"/>
        <v>NodeRed-16-000020</v>
      </c>
      <c r="B21" t="s">
        <v>18</v>
      </c>
      <c r="C21" s="3" t="s">
        <v>19</v>
      </c>
      <c r="D21" s="3" t="s">
        <v>20</v>
      </c>
      <c r="E21" s="3" t="s">
        <v>21</v>
      </c>
      <c r="F21" s="4" t="s">
        <v>22</v>
      </c>
      <c r="G21" s="3" t="s">
        <v>23</v>
      </c>
      <c r="H21" t="s">
        <v>119</v>
      </c>
      <c r="I21" t="s">
        <v>25</v>
      </c>
      <c r="J21" s="6">
        <v>46014</v>
      </c>
      <c r="K21" t="s">
        <v>120</v>
      </c>
      <c r="L21" t="s">
        <v>18</v>
      </c>
      <c r="M21" s="3" t="s">
        <v>27</v>
      </c>
      <c r="N21" t="s">
        <v>121</v>
      </c>
      <c r="O21" t="s">
        <v>18</v>
      </c>
      <c r="P21" t="s">
        <v>122</v>
      </c>
      <c r="Q21" t="s">
        <v>123</v>
      </c>
      <c r="S21" t="s">
        <v>18</v>
      </c>
      <c r="T21" t="s">
        <v>18</v>
      </c>
    </row>
    <row r="22" spans="1:20">
      <c r="A22" t="str">
        <f t="shared" si="0"/>
        <v>NodeRed-16-000021</v>
      </c>
      <c r="B22" t="s">
        <v>18</v>
      </c>
      <c r="C22" s="3" t="s">
        <v>19</v>
      </c>
      <c r="D22" s="3" t="s">
        <v>20</v>
      </c>
      <c r="E22" s="3" t="s">
        <v>21</v>
      </c>
      <c r="F22" s="4" t="s">
        <v>22</v>
      </c>
      <c r="G22" s="3" t="s">
        <v>23</v>
      </c>
      <c r="H22" t="s">
        <v>124</v>
      </c>
      <c r="I22" t="s">
        <v>25</v>
      </c>
      <c r="J22" s="6">
        <v>46014</v>
      </c>
      <c r="K22" t="s">
        <v>125</v>
      </c>
      <c r="L22" t="s">
        <v>18</v>
      </c>
      <c r="M22" s="3" t="s">
        <v>27</v>
      </c>
      <c r="N22" t="s">
        <v>126</v>
      </c>
      <c r="O22" t="s">
        <v>18</v>
      </c>
      <c r="P22" t="s">
        <v>127</v>
      </c>
      <c r="Q22" t="s">
        <v>128</v>
      </c>
      <c r="S22" t="s">
        <v>18</v>
      </c>
      <c r="T22" t="s">
        <v>18</v>
      </c>
    </row>
    <row r="23" spans="1:20">
      <c r="A23" t="str">
        <f t="shared" si="0"/>
        <v>NodeRed-16-000022</v>
      </c>
      <c r="B23" t="s">
        <v>18</v>
      </c>
      <c r="C23" s="3" t="s">
        <v>19</v>
      </c>
      <c r="D23" s="3" t="s">
        <v>20</v>
      </c>
      <c r="E23" s="3" t="s">
        <v>21</v>
      </c>
      <c r="F23" s="4" t="s">
        <v>22</v>
      </c>
      <c r="G23" s="3" t="s">
        <v>23</v>
      </c>
      <c r="H23" t="s">
        <v>129</v>
      </c>
      <c r="I23" t="s">
        <v>25</v>
      </c>
      <c r="J23" s="6">
        <v>46014</v>
      </c>
      <c r="K23" t="s">
        <v>130</v>
      </c>
      <c r="L23" t="s">
        <v>18</v>
      </c>
      <c r="M23" s="3" t="s">
        <v>27</v>
      </c>
      <c r="N23" t="s">
        <v>131</v>
      </c>
      <c r="O23" t="s">
        <v>18</v>
      </c>
      <c r="P23" t="s">
        <v>49</v>
      </c>
      <c r="Q23" t="s">
        <v>132</v>
      </c>
      <c r="S23" t="s">
        <v>18</v>
      </c>
      <c r="T23" t="s">
        <v>18</v>
      </c>
    </row>
    <row r="24" spans="1:20">
      <c r="A24" t="str">
        <f t="shared" si="0"/>
        <v>NodeRed-16-000023</v>
      </c>
      <c r="B24" t="s">
        <v>18</v>
      </c>
      <c r="C24" s="3" t="s">
        <v>19</v>
      </c>
      <c r="D24" s="3" t="s">
        <v>20</v>
      </c>
      <c r="E24" s="3" t="s">
        <v>21</v>
      </c>
      <c r="F24" s="4" t="s">
        <v>22</v>
      </c>
      <c r="G24" s="3" t="s">
        <v>23</v>
      </c>
      <c r="H24" t="s">
        <v>133</v>
      </c>
      <c r="I24" t="s">
        <v>25</v>
      </c>
      <c r="J24" s="6">
        <v>46014</v>
      </c>
      <c r="K24" t="s">
        <v>134</v>
      </c>
      <c r="L24" t="s">
        <v>18</v>
      </c>
      <c r="M24" s="3" t="s">
        <v>27</v>
      </c>
      <c r="N24" t="s">
        <v>135</v>
      </c>
      <c r="O24" t="s">
        <v>18</v>
      </c>
      <c r="P24" t="s">
        <v>136</v>
      </c>
      <c r="Q24" t="s">
        <v>137</v>
      </c>
      <c r="S24" t="s">
        <v>18</v>
      </c>
      <c r="T24" t="s">
        <v>18</v>
      </c>
    </row>
    <row r="25" spans="1:20">
      <c r="A25" t="str">
        <f t="shared" si="0"/>
        <v>NodeRed-16-000024</v>
      </c>
      <c r="B25" t="s">
        <v>18</v>
      </c>
      <c r="C25" s="3" t="s">
        <v>19</v>
      </c>
      <c r="D25" s="3" t="s">
        <v>20</v>
      </c>
      <c r="E25" s="3" t="s">
        <v>21</v>
      </c>
      <c r="F25" s="4" t="s">
        <v>22</v>
      </c>
      <c r="G25" s="3" t="s">
        <v>23</v>
      </c>
      <c r="H25" t="s">
        <v>138</v>
      </c>
      <c r="I25" t="s">
        <v>25</v>
      </c>
      <c r="J25" s="6">
        <v>46014</v>
      </c>
      <c r="K25" t="s">
        <v>139</v>
      </c>
      <c r="L25" t="s">
        <v>18</v>
      </c>
      <c r="M25" s="3" t="s">
        <v>27</v>
      </c>
      <c r="N25" t="s">
        <v>140</v>
      </c>
      <c r="O25" t="s">
        <v>18</v>
      </c>
      <c r="P25" t="s">
        <v>141</v>
      </c>
      <c r="Q25" t="s">
        <v>142</v>
      </c>
      <c r="S25" t="s">
        <v>18</v>
      </c>
      <c r="T25" t="s">
        <v>18</v>
      </c>
    </row>
    <row r="26" spans="1:20">
      <c r="A26" t="str">
        <f t="shared" si="0"/>
        <v>NodeRed-16-000025</v>
      </c>
      <c r="B26" t="s">
        <v>18</v>
      </c>
      <c r="C26" s="3" t="s">
        <v>19</v>
      </c>
      <c r="D26" s="3" t="s">
        <v>20</v>
      </c>
      <c r="E26" s="3" t="s">
        <v>21</v>
      </c>
      <c r="F26" s="4" t="s">
        <v>22</v>
      </c>
      <c r="G26" s="3" t="s">
        <v>23</v>
      </c>
      <c r="H26" t="s">
        <v>143</v>
      </c>
      <c r="I26" t="s">
        <v>25</v>
      </c>
      <c r="J26" s="6">
        <v>46014</v>
      </c>
      <c r="K26" t="s">
        <v>144</v>
      </c>
      <c r="L26" t="s">
        <v>18</v>
      </c>
      <c r="M26" s="3" t="s">
        <v>27</v>
      </c>
      <c r="N26" t="s">
        <v>145</v>
      </c>
      <c r="O26" t="s">
        <v>18</v>
      </c>
      <c r="P26" t="s">
        <v>146</v>
      </c>
      <c r="Q26" t="s">
        <v>147</v>
      </c>
      <c r="S26" t="s">
        <v>18</v>
      </c>
      <c r="T26" t="s">
        <v>18</v>
      </c>
    </row>
    <row r="27" spans="1:20">
      <c r="A27" t="str">
        <f t="shared" si="0"/>
        <v>NodeRed-16-000026</v>
      </c>
      <c r="B27" t="s">
        <v>18</v>
      </c>
      <c r="C27" s="3" t="s">
        <v>19</v>
      </c>
      <c r="D27" s="3" t="s">
        <v>20</v>
      </c>
      <c r="E27" s="3" t="s">
        <v>21</v>
      </c>
      <c r="F27" s="4" t="s">
        <v>22</v>
      </c>
      <c r="G27" s="3" t="s">
        <v>23</v>
      </c>
      <c r="H27" t="s">
        <v>148</v>
      </c>
      <c r="I27" t="s">
        <v>25</v>
      </c>
      <c r="J27" s="6">
        <v>46014</v>
      </c>
      <c r="K27" t="s">
        <v>149</v>
      </c>
      <c r="L27" t="s">
        <v>18</v>
      </c>
      <c r="M27" s="3" t="s">
        <v>27</v>
      </c>
      <c r="N27" t="s">
        <v>150</v>
      </c>
      <c r="O27" t="s">
        <v>18</v>
      </c>
      <c r="P27" t="s">
        <v>151</v>
      </c>
      <c r="Q27" t="s">
        <v>152</v>
      </c>
      <c r="S27" t="s">
        <v>18</v>
      </c>
      <c r="T27" t="s">
        <v>18</v>
      </c>
    </row>
    <row r="28" spans="1:20">
      <c r="A28" t="str">
        <f t="shared" si="0"/>
        <v>NodeRed-16-000027</v>
      </c>
      <c r="B28" t="s">
        <v>18</v>
      </c>
      <c r="C28" s="3" t="s">
        <v>19</v>
      </c>
      <c r="D28" s="3" t="s">
        <v>20</v>
      </c>
      <c r="E28" s="3" t="s">
        <v>21</v>
      </c>
      <c r="F28" s="4" t="s">
        <v>22</v>
      </c>
      <c r="G28" s="3" t="s">
        <v>23</v>
      </c>
      <c r="H28" t="s">
        <v>153</v>
      </c>
      <c r="I28" t="s">
        <v>25</v>
      </c>
      <c r="J28" s="6">
        <v>46014</v>
      </c>
      <c r="K28" t="s">
        <v>154</v>
      </c>
      <c r="L28" t="s">
        <v>18</v>
      </c>
      <c r="M28" s="3" t="s">
        <v>27</v>
      </c>
      <c r="N28" t="s">
        <v>155</v>
      </c>
      <c r="O28" t="s">
        <v>18</v>
      </c>
      <c r="P28" t="s">
        <v>156</v>
      </c>
      <c r="Q28" t="s">
        <v>157</v>
      </c>
      <c r="S28" t="s">
        <v>18</v>
      </c>
      <c r="T28" t="s">
        <v>18</v>
      </c>
    </row>
    <row r="29" spans="1:20">
      <c r="A29" t="str">
        <f t="shared" si="0"/>
        <v>NodeRed-16-000028</v>
      </c>
      <c r="B29" t="s">
        <v>18</v>
      </c>
      <c r="C29" s="3" t="s">
        <v>19</v>
      </c>
      <c r="D29" s="3" t="s">
        <v>20</v>
      </c>
      <c r="E29" s="3" t="s">
        <v>21</v>
      </c>
      <c r="F29" s="4" t="s">
        <v>22</v>
      </c>
      <c r="G29" s="3" t="s">
        <v>23</v>
      </c>
      <c r="H29" t="s">
        <v>158</v>
      </c>
      <c r="I29" t="s">
        <v>25</v>
      </c>
      <c r="J29" s="6">
        <v>46014</v>
      </c>
      <c r="K29" t="s">
        <v>159</v>
      </c>
      <c r="L29" t="s">
        <v>18</v>
      </c>
      <c r="M29" s="3" t="s">
        <v>27</v>
      </c>
      <c r="N29" t="s">
        <v>160</v>
      </c>
      <c r="O29" t="s">
        <v>18</v>
      </c>
      <c r="P29" t="s">
        <v>69</v>
      </c>
      <c r="Q29" t="s">
        <v>161</v>
      </c>
      <c r="S29" t="s">
        <v>18</v>
      </c>
      <c r="T29" t="s">
        <v>18</v>
      </c>
    </row>
    <row r="30" spans="1:20">
      <c r="A30" t="str">
        <f t="shared" si="0"/>
        <v>NodeRed-16-000029</v>
      </c>
      <c r="B30" t="s">
        <v>18</v>
      </c>
      <c r="C30" s="3" t="s">
        <v>19</v>
      </c>
      <c r="D30" s="3" t="s">
        <v>20</v>
      </c>
      <c r="E30" s="3" t="s">
        <v>21</v>
      </c>
      <c r="F30" s="4" t="s">
        <v>22</v>
      </c>
      <c r="G30" s="3" t="s">
        <v>23</v>
      </c>
      <c r="H30" t="s">
        <v>162</v>
      </c>
      <c r="I30" t="s">
        <v>25</v>
      </c>
      <c r="J30" s="6">
        <v>46014</v>
      </c>
      <c r="K30" t="s">
        <v>163</v>
      </c>
      <c r="L30" t="s">
        <v>18</v>
      </c>
      <c r="M30" s="3" t="s">
        <v>27</v>
      </c>
      <c r="N30" t="s">
        <v>164</v>
      </c>
      <c r="O30" t="s">
        <v>18</v>
      </c>
      <c r="P30" t="s">
        <v>69</v>
      </c>
      <c r="Q30" t="s">
        <v>165</v>
      </c>
      <c r="S30" t="s">
        <v>18</v>
      </c>
      <c r="T30" t="s">
        <v>18</v>
      </c>
    </row>
    <row r="31" spans="1:20">
      <c r="A31" t="str">
        <f t="shared" si="0"/>
        <v>NodeRed-16-000030</v>
      </c>
      <c r="B31" t="s">
        <v>18</v>
      </c>
      <c r="C31" s="3" t="s">
        <v>19</v>
      </c>
      <c r="D31" s="3" t="s">
        <v>20</v>
      </c>
      <c r="E31" s="3" t="s">
        <v>21</v>
      </c>
      <c r="F31" s="4" t="s">
        <v>22</v>
      </c>
      <c r="G31" s="3" t="s">
        <v>23</v>
      </c>
      <c r="H31" t="s">
        <v>166</v>
      </c>
      <c r="I31" t="s">
        <v>25</v>
      </c>
      <c r="J31" s="6">
        <v>46014</v>
      </c>
      <c r="K31" t="s">
        <v>167</v>
      </c>
      <c r="L31" t="s">
        <v>18</v>
      </c>
      <c r="M31" s="3" t="s">
        <v>27</v>
      </c>
      <c r="N31" t="s">
        <v>168</v>
      </c>
      <c r="O31" t="s">
        <v>18</v>
      </c>
      <c r="P31" t="s">
        <v>49</v>
      </c>
      <c r="Q31" t="s">
        <v>169</v>
      </c>
      <c r="S31" t="s">
        <v>18</v>
      </c>
      <c r="T31" t="s">
        <v>18</v>
      </c>
    </row>
    <row r="32" spans="1:20">
      <c r="A32" t="str">
        <f t="shared" si="0"/>
        <v>NodeRed-16-000031</v>
      </c>
      <c r="B32" t="s">
        <v>18</v>
      </c>
      <c r="C32" s="3" t="s">
        <v>19</v>
      </c>
      <c r="D32" s="3" t="s">
        <v>20</v>
      </c>
      <c r="E32" s="3" t="s">
        <v>21</v>
      </c>
      <c r="F32" s="4" t="s">
        <v>22</v>
      </c>
      <c r="G32" s="3" t="s">
        <v>23</v>
      </c>
      <c r="H32" t="s">
        <v>170</v>
      </c>
      <c r="I32" t="s">
        <v>25</v>
      </c>
      <c r="J32" s="6">
        <v>46014</v>
      </c>
      <c r="K32" t="s">
        <v>171</v>
      </c>
      <c r="L32" t="s">
        <v>18</v>
      </c>
      <c r="M32" s="3" t="s">
        <v>27</v>
      </c>
      <c r="N32" t="s">
        <v>172</v>
      </c>
      <c r="O32" t="s">
        <v>18</v>
      </c>
      <c r="P32" t="s">
        <v>59</v>
      </c>
      <c r="Q32" t="s">
        <v>173</v>
      </c>
      <c r="S32" t="s">
        <v>18</v>
      </c>
      <c r="T32" t="s">
        <v>18</v>
      </c>
    </row>
    <row r="33" spans="1:20">
      <c r="A33" t="str">
        <f t="shared" si="0"/>
        <v>NodeRed-16-000032</v>
      </c>
      <c r="B33" t="s">
        <v>18</v>
      </c>
      <c r="C33" s="3" t="s">
        <v>19</v>
      </c>
      <c r="D33" s="3" t="s">
        <v>20</v>
      </c>
      <c r="E33" s="3" t="s">
        <v>21</v>
      </c>
      <c r="F33" s="4" t="s">
        <v>22</v>
      </c>
      <c r="G33" s="3" t="s">
        <v>23</v>
      </c>
      <c r="H33" t="s">
        <v>174</v>
      </c>
      <c r="I33" t="s">
        <v>25</v>
      </c>
      <c r="J33" s="6">
        <v>46014</v>
      </c>
      <c r="K33" t="s">
        <v>175</v>
      </c>
      <c r="L33" t="s">
        <v>18</v>
      </c>
      <c r="M33" s="3" t="s">
        <v>27</v>
      </c>
      <c r="N33" t="s">
        <v>176</v>
      </c>
      <c r="O33" t="s">
        <v>18</v>
      </c>
      <c r="P33" t="s">
        <v>69</v>
      </c>
      <c r="Q33" t="s">
        <v>177</v>
      </c>
      <c r="S33" t="s">
        <v>18</v>
      </c>
      <c r="T33" t="s">
        <v>18</v>
      </c>
    </row>
    <row r="34" spans="1:20">
      <c r="A34" t="str">
        <f t="shared" si="0"/>
        <v>NodeRed-16-000033</v>
      </c>
      <c r="B34" t="s">
        <v>18</v>
      </c>
      <c r="C34" s="3" t="s">
        <v>19</v>
      </c>
      <c r="D34" s="3" t="s">
        <v>20</v>
      </c>
      <c r="E34" s="3" t="s">
        <v>21</v>
      </c>
      <c r="F34" s="4" t="s">
        <v>22</v>
      </c>
      <c r="G34" s="3" t="s">
        <v>23</v>
      </c>
      <c r="H34" t="s">
        <v>178</v>
      </c>
      <c r="I34" t="s">
        <v>25</v>
      </c>
      <c r="J34" s="6">
        <v>46014</v>
      </c>
      <c r="K34" t="s">
        <v>179</v>
      </c>
      <c r="L34" t="s">
        <v>18</v>
      </c>
      <c r="M34" s="3" t="s">
        <v>27</v>
      </c>
      <c r="N34" t="s">
        <v>180</v>
      </c>
      <c r="O34" t="s">
        <v>18</v>
      </c>
      <c r="P34" t="s">
        <v>181</v>
      </c>
      <c r="Q34" t="s">
        <v>182</v>
      </c>
      <c r="S34" t="s">
        <v>18</v>
      </c>
      <c r="T34" t="s">
        <v>18</v>
      </c>
    </row>
    <row r="35" spans="1:20">
      <c r="A35" t="str">
        <f t="shared" si="0"/>
        <v>NodeRed-16-000034</v>
      </c>
      <c r="B35" t="s">
        <v>18</v>
      </c>
      <c r="C35" s="3" t="s">
        <v>19</v>
      </c>
      <c r="D35" s="3" t="s">
        <v>20</v>
      </c>
      <c r="E35" s="3" t="s">
        <v>21</v>
      </c>
      <c r="F35" s="4" t="s">
        <v>22</v>
      </c>
      <c r="G35" s="3" t="s">
        <v>23</v>
      </c>
      <c r="H35" t="s">
        <v>183</v>
      </c>
      <c r="I35" t="s">
        <v>25</v>
      </c>
      <c r="J35" s="6">
        <v>46014</v>
      </c>
      <c r="K35" t="s">
        <v>184</v>
      </c>
      <c r="L35" t="s">
        <v>18</v>
      </c>
      <c r="M35" s="3" t="s">
        <v>27</v>
      </c>
      <c r="N35" t="s">
        <v>185</v>
      </c>
      <c r="O35" t="s">
        <v>18</v>
      </c>
      <c r="P35" t="s">
        <v>186</v>
      </c>
      <c r="Q35" t="s">
        <v>187</v>
      </c>
      <c r="S35" t="s">
        <v>18</v>
      </c>
      <c r="T35" t="s">
        <v>18</v>
      </c>
    </row>
    <row r="36" spans="1:20">
      <c r="A36" t="str">
        <f t="shared" si="0"/>
        <v>NodeRed-16-000035</v>
      </c>
      <c r="B36" t="s">
        <v>18</v>
      </c>
      <c r="C36" s="3" t="s">
        <v>19</v>
      </c>
      <c r="D36" s="3" t="s">
        <v>20</v>
      </c>
      <c r="E36" s="3" t="s">
        <v>21</v>
      </c>
      <c r="F36" s="4" t="s">
        <v>22</v>
      </c>
      <c r="G36" s="3" t="s">
        <v>23</v>
      </c>
      <c r="H36" t="s">
        <v>188</v>
      </c>
      <c r="I36" t="s">
        <v>25</v>
      </c>
      <c r="J36" s="6">
        <v>46014</v>
      </c>
      <c r="K36" t="s">
        <v>189</v>
      </c>
      <c r="L36" t="s">
        <v>18</v>
      </c>
      <c r="M36" s="3" t="s">
        <v>27</v>
      </c>
      <c r="N36" t="s">
        <v>190</v>
      </c>
      <c r="O36" t="s">
        <v>18</v>
      </c>
      <c r="P36" t="s">
        <v>69</v>
      </c>
      <c r="Q36" t="s">
        <v>191</v>
      </c>
      <c r="S36" t="s">
        <v>18</v>
      </c>
      <c r="T36" t="s">
        <v>18</v>
      </c>
    </row>
    <row r="37" spans="1:20">
      <c r="A37" t="str">
        <f t="shared" si="0"/>
        <v>NodeRed-16-000036</v>
      </c>
      <c r="B37" t="s">
        <v>18</v>
      </c>
      <c r="C37" s="3" t="s">
        <v>19</v>
      </c>
      <c r="D37" s="3" t="s">
        <v>20</v>
      </c>
      <c r="E37" s="3" t="s">
        <v>21</v>
      </c>
      <c r="F37" s="4" t="s">
        <v>22</v>
      </c>
      <c r="G37" s="3" t="s">
        <v>23</v>
      </c>
      <c r="H37" t="s">
        <v>192</v>
      </c>
      <c r="I37" t="s">
        <v>25</v>
      </c>
      <c r="J37" s="6">
        <v>46014</v>
      </c>
      <c r="K37" t="s">
        <v>193</v>
      </c>
      <c r="L37" t="s">
        <v>18</v>
      </c>
      <c r="M37" s="3" t="s">
        <v>27</v>
      </c>
      <c r="N37" t="s">
        <v>194</v>
      </c>
      <c r="O37" t="s">
        <v>18</v>
      </c>
      <c r="P37" t="s">
        <v>195</v>
      </c>
      <c r="Q37" t="s">
        <v>196</v>
      </c>
      <c r="S37" t="s">
        <v>18</v>
      </c>
      <c r="T37" t="s">
        <v>18</v>
      </c>
    </row>
    <row r="38" spans="1:20">
      <c r="A38" t="str">
        <f t="shared" si="0"/>
        <v>NodeRed-16-000037</v>
      </c>
      <c r="B38" t="s">
        <v>18</v>
      </c>
      <c r="C38" s="3" t="s">
        <v>19</v>
      </c>
      <c r="D38" s="3" t="s">
        <v>20</v>
      </c>
      <c r="E38" s="3" t="s">
        <v>21</v>
      </c>
      <c r="F38" s="4" t="s">
        <v>22</v>
      </c>
      <c r="G38" s="3" t="s">
        <v>23</v>
      </c>
      <c r="H38" t="s">
        <v>197</v>
      </c>
      <c r="I38" t="s">
        <v>25</v>
      </c>
      <c r="J38" s="6">
        <v>46014</v>
      </c>
      <c r="K38" t="s">
        <v>198</v>
      </c>
      <c r="L38" t="s">
        <v>18</v>
      </c>
      <c r="M38" s="3" t="s">
        <v>27</v>
      </c>
      <c r="N38" t="s">
        <v>199</v>
      </c>
      <c r="O38" t="s">
        <v>18</v>
      </c>
      <c r="P38" t="s">
        <v>200</v>
      </c>
      <c r="Q38" t="s">
        <v>201</v>
      </c>
      <c r="S38" t="s">
        <v>18</v>
      </c>
      <c r="T38" t="s">
        <v>18</v>
      </c>
    </row>
    <row r="39" spans="1:20">
      <c r="A39" t="str">
        <f t="shared" si="0"/>
        <v>NodeRed-16-000038</v>
      </c>
      <c r="B39" t="s">
        <v>18</v>
      </c>
      <c r="C39" s="3" t="s">
        <v>19</v>
      </c>
      <c r="D39" s="3" t="s">
        <v>20</v>
      </c>
      <c r="E39" s="3" t="s">
        <v>21</v>
      </c>
      <c r="F39" s="4" t="s">
        <v>22</v>
      </c>
      <c r="G39" s="3" t="s">
        <v>23</v>
      </c>
      <c r="H39" t="s">
        <v>202</v>
      </c>
      <c r="I39" t="s">
        <v>25</v>
      </c>
      <c r="J39" s="6">
        <v>46014</v>
      </c>
      <c r="K39" t="s">
        <v>203</v>
      </c>
      <c r="L39" t="s">
        <v>18</v>
      </c>
      <c r="M39" s="3" t="s">
        <v>27</v>
      </c>
      <c r="N39" t="s">
        <v>204</v>
      </c>
      <c r="O39" t="s">
        <v>18</v>
      </c>
      <c r="P39" t="s">
        <v>205</v>
      </c>
      <c r="Q39" t="s">
        <v>206</v>
      </c>
      <c r="S39" t="s">
        <v>18</v>
      </c>
      <c r="T39" t="s">
        <v>18</v>
      </c>
    </row>
    <row r="40" spans="1:20">
      <c r="A40" t="str">
        <f t="shared" si="0"/>
        <v>NodeRed-16-000039</v>
      </c>
      <c r="B40" t="s">
        <v>18</v>
      </c>
      <c r="C40" s="3" t="s">
        <v>19</v>
      </c>
      <c r="D40" s="3" t="s">
        <v>20</v>
      </c>
      <c r="E40" s="3" t="s">
        <v>21</v>
      </c>
      <c r="F40" s="4" t="s">
        <v>22</v>
      </c>
      <c r="G40" s="3" t="s">
        <v>23</v>
      </c>
      <c r="H40" t="s">
        <v>207</v>
      </c>
      <c r="I40" t="s">
        <v>25</v>
      </c>
      <c r="J40" s="6">
        <v>46014</v>
      </c>
      <c r="K40" t="s">
        <v>208</v>
      </c>
      <c r="L40" t="s">
        <v>18</v>
      </c>
      <c r="M40" s="3" t="s">
        <v>27</v>
      </c>
      <c r="N40" t="s">
        <v>209</v>
      </c>
      <c r="O40" t="s">
        <v>18</v>
      </c>
      <c r="P40" t="s">
        <v>210</v>
      </c>
      <c r="Q40" t="s">
        <v>211</v>
      </c>
      <c r="S40" t="s">
        <v>18</v>
      </c>
      <c r="T40" t="s">
        <v>18</v>
      </c>
    </row>
    <row r="41" spans="1:20">
      <c r="A41" t="str">
        <f t="shared" si="0"/>
        <v>NodeRed-16-000040</v>
      </c>
      <c r="B41" t="s">
        <v>18</v>
      </c>
      <c r="C41" s="3" t="s">
        <v>19</v>
      </c>
      <c r="D41" s="3" t="s">
        <v>20</v>
      </c>
      <c r="E41" s="3" t="s">
        <v>21</v>
      </c>
      <c r="F41" s="4" t="s">
        <v>22</v>
      </c>
      <c r="G41" s="3" t="s">
        <v>23</v>
      </c>
      <c r="H41" t="s">
        <v>212</v>
      </c>
      <c r="I41" t="s">
        <v>25</v>
      </c>
      <c r="J41" s="6">
        <v>46014</v>
      </c>
      <c r="K41" t="s">
        <v>213</v>
      </c>
      <c r="L41" t="s">
        <v>18</v>
      </c>
      <c r="M41" s="3" t="s">
        <v>27</v>
      </c>
      <c r="N41" t="s">
        <v>214</v>
      </c>
      <c r="O41" t="s">
        <v>18</v>
      </c>
      <c r="P41" t="s">
        <v>215</v>
      </c>
      <c r="Q41" t="s">
        <v>216</v>
      </c>
      <c r="S41" t="s">
        <v>18</v>
      </c>
      <c r="T41" t="s">
        <v>18</v>
      </c>
    </row>
    <row r="42" spans="1:20">
      <c r="A42" t="str">
        <f t="shared" si="0"/>
        <v>NodeRed-16-000041</v>
      </c>
      <c r="B42" t="s">
        <v>18</v>
      </c>
      <c r="C42" s="3" t="s">
        <v>19</v>
      </c>
      <c r="D42" s="3" t="s">
        <v>20</v>
      </c>
      <c r="E42" s="3" t="s">
        <v>21</v>
      </c>
      <c r="F42" s="4" t="s">
        <v>22</v>
      </c>
      <c r="G42" s="3" t="s">
        <v>23</v>
      </c>
      <c r="H42" t="s">
        <v>217</v>
      </c>
      <c r="I42" t="s">
        <v>25</v>
      </c>
      <c r="J42" s="6">
        <v>46014</v>
      </c>
      <c r="K42" t="s">
        <v>218</v>
      </c>
      <c r="L42" t="s">
        <v>18</v>
      </c>
      <c r="M42" s="3" t="s">
        <v>27</v>
      </c>
      <c r="N42" t="s">
        <v>219</v>
      </c>
      <c r="O42" t="s">
        <v>18</v>
      </c>
      <c r="P42" t="s">
        <v>220</v>
      </c>
      <c r="Q42" t="s">
        <v>221</v>
      </c>
      <c r="S42" t="s">
        <v>18</v>
      </c>
      <c r="T42" t="s">
        <v>18</v>
      </c>
    </row>
    <row r="43" spans="1:20">
      <c r="A43" t="str">
        <f t="shared" si="0"/>
        <v>NodeRed-16-000042</v>
      </c>
      <c r="B43" t="s">
        <v>18</v>
      </c>
      <c r="C43" s="3" t="s">
        <v>19</v>
      </c>
      <c r="D43" s="3" t="s">
        <v>20</v>
      </c>
      <c r="E43" s="3" t="s">
        <v>21</v>
      </c>
      <c r="F43" s="4" t="s">
        <v>22</v>
      </c>
      <c r="G43" s="3" t="s">
        <v>23</v>
      </c>
      <c r="H43" t="s">
        <v>222</v>
      </c>
      <c r="I43" t="s">
        <v>25</v>
      </c>
      <c r="J43" s="6">
        <v>46014</v>
      </c>
      <c r="K43" t="s">
        <v>223</v>
      </c>
      <c r="L43" t="s">
        <v>18</v>
      </c>
      <c r="M43" s="3" t="s">
        <v>27</v>
      </c>
      <c r="N43" t="s">
        <v>224</v>
      </c>
      <c r="O43" t="s">
        <v>18</v>
      </c>
      <c r="P43" t="s">
        <v>151</v>
      </c>
      <c r="Q43" t="s">
        <v>225</v>
      </c>
      <c r="S43" t="s">
        <v>18</v>
      </c>
      <c r="T43" t="s">
        <v>18</v>
      </c>
    </row>
    <row r="44" spans="1:20">
      <c r="A44" t="str">
        <f t="shared" si="0"/>
        <v>NodeRed-16-000043</v>
      </c>
      <c r="B44" t="s">
        <v>18</v>
      </c>
      <c r="C44" s="3" t="s">
        <v>19</v>
      </c>
      <c r="D44" s="3" t="s">
        <v>20</v>
      </c>
      <c r="E44" s="3" t="s">
        <v>21</v>
      </c>
      <c r="F44" s="4" t="s">
        <v>22</v>
      </c>
      <c r="G44" s="3" t="s">
        <v>23</v>
      </c>
      <c r="H44" t="s">
        <v>226</v>
      </c>
      <c r="I44" t="s">
        <v>25</v>
      </c>
      <c r="J44" s="6">
        <v>46014</v>
      </c>
      <c r="K44" t="s">
        <v>227</v>
      </c>
      <c r="L44" t="s">
        <v>18</v>
      </c>
      <c r="M44" s="3" t="s">
        <v>27</v>
      </c>
      <c r="N44" t="s">
        <v>228</v>
      </c>
      <c r="O44" t="s">
        <v>18</v>
      </c>
      <c r="P44" t="s">
        <v>229</v>
      </c>
      <c r="Q44" t="s">
        <v>230</v>
      </c>
      <c r="S44" t="s">
        <v>18</v>
      </c>
      <c r="T44" t="s">
        <v>18</v>
      </c>
    </row>
    <row r="45" spans="1:20">
      <c r="A45" t="str">
        <f t="shared" si="0"/>
        <v>NodeRed-16-000044</v>
      </c>
      <c r="B45" t="s">
        <v>18</v>
      </c>
      <c r="C45" s="3" t="s">
        <v>19</v>
      </c>
      <c r="D45" s="3" t="s">
        <v>20</v>
      </c>
      <c r="E45" s="3" t="s">
        <v>21</v>
      </c>
      <c r="F45" s="4" t="s">
        <v>22</v>
      </c>
      <c r="G45" s="3" t="s">
        <v>23</v>
      </c>
      <c r="H45" t="s">
        <v>231</v>
      </c>
      <c r="I45" t="s">
        <v>25</v>
      </c>
      <c r="J45" s="6">
        <v>46014</v>
      </c>
      <c r="K45" t="s">
        <v>232</v>
      </c>
      <c r="L45" t="s">
        <v>18</v>
      </c>
      <c r="M45" s="3" t="s">
        <v>27</v>
      </c>
      <c r="N45" t="s">
        <v>233</v>
      </c>
      <c r="O45" t="s">
        <v>18</v>
      </c>
      <c r="P45" t="s">
        <v>229</v>
      </c>
      <c r="Q45" t="s">
        <v>234</v>
      </c>
      <c r="S45" t="s">
        <v>18</v>
      </c>
      <c r="T45" t="s">
        <v>18</v>
      </c>
    </row>
    <row r="46" spans="1:20">
      <c r="A46" t="str">
        <f t="shared" si="0"/>
        <v>NodeRed-16-000045</v>
      </c>
      <c r="B46" t="s">
        <v>18</v>
      </c>
      <c r="C46" s="3" t="s">
        <v>19</v>
      </c>
      <c r="D46" s="3" t="s">
        <v>20</v>
      </c>
      <c r="E46" s="3" t="s">
        <v>21</v>
      </c>
      <c r="F46" s="4" t="s">
        <v>22</v>
      </c>
      <c r="G46" s="3" t="s">
        <v>23</v>
      </c>
      <c r="H46" t="s">
        <v>235</v>
      </c>
      <c r="I46" t="s">
        <v>25</v>
      </c>
      <c r="J46" s="6">
        <v>46014</v>
      </c>
      <c r="K46" t="s">
        <v>236</v>
      </c>
      <c r="L46" t="s">
        <v>18</v>
      </c>
      <c r="M46" s="3" t="s">
        <v>27</v>
      </c>
      <c r="N46" t="s">
        <v>237</v>
      </c>
      <c r="O46" t="s">
        <v>18</v>
      </c>
      <c r="P46" t="s">
        <v>238</v>
      </c>
      <c r="Q46" t="s">
        <v>239</v>
      </c>
      <c r="S46" t="s">
        <v>18</v>
      </c>
      <c r="T46" t="s">
        <v>18</v>
      </c>
    </row>
    <row r="47" spans="1:20">
      <c r="A47" t="str">
        <f t="shared" si="0"/>
        <v>NodeRed-16-000046</v>
      </c>
      <c r="B47" t="s">
        <v>18</v>
      </c>
      <c r="C47" s="3" t="s">
        <v>19</v>
      </c>
      <c r="D47" s="3" t="s">
        <v>20</v>
      </c>
      <c r="E47" s="3" t="s">
        <v>21</v>
      </c>
      <c r="F47" s="4" t="s">
        <v>22</v>
      </c>
      <c r="G47" s="3" t="s">
        <v>23</v>
      </c>
      <c r="H47" t="s">
        <v>240</v>
      </c>
      <c r="I47" t="s">
        <v>25</v>
      </c>
      <c r="J47" s="6">
        <v>46014</v>
      </c>
      <c r="K47" t="s">
        <v>241</v>
      </c>
      <c r="L47" t="s">
        <v>18</v>
      </c>
      <c r="M47" s="3" t="s">
        <v>27</v>
      </c>
      <c r="N47" t="s">
        <v>242</v>
      </c>
      <c r="O47" t="s">
        <v>18</v>
      </c>
      <c r="P47" t="s">
        <v>243</v>
      </c>
      <c r="Q47" t="s">
        <v>244</v>
      </c>
      <c r="S47" t="s">
        <v>18</v>
      </c>
      <c r="T47" t="s">
        <v>18</v>
      </c>
    </row>
    <row r="48" spans="1:20">
      <c r="A48" t="str">
        <f t="shared" si="0"/>
        <v>NodeRed-16-000047</v>
      </c>
      <c r="B48" t="s">
        <v>18</v>
      </c>
      <c r="C48" s="3" t="s">
        <v>19</v>
      </c>
      <c r="D48" s="3" t="s">
        <v>20</v>
      </c>
      <c r="E48" s="3" t="s">
        <v>21</v>
      </c>
      <c r="F48" s="4" t="s">
        <v>22</v>
      </c>
      <c r="G48" s="3" t="s">
        <v>23</v>
      </c>
      <c r="H48" t="s">
        <v>245</v>
      </c>
      <c r="I48" t="s">
        <v>25</v>
      </c>
      <c r="J48" s="6">
        <v>46014</v>
      </c>
      <c r="K48" t="s">
        <v>246</v>
      </c>
      <c r="L48" t="s">
        <v>18</v>
      </c>
      <c r="M48" s="3" t="s">
        <v>27</v>
      </c>
      <c r="N48" t="s">
        <v>247</v>
      </c>
      <c r="O48" t="s">
        <v>18</v>
      </c>
      <c r="P48" t="s">
        <v>29</v>
      </c>
      <c r="Q48" t="s">
        <v>248</v>
      </c>
      <c r="S48" t="s">
        <v>18</v>
      </c>
      <c r="T48" t="s">
        <v>18</v>
      </c>
    </row>
    <row r="49" spans="1:20">
      <c r="A49" t="str">
        <f t="shared" si="0"/>
        <v>NodeRed-16-000048</v>
      </c>
      <c r="B49" t="s">
        <v>18</v>
      </c>
      <c r="C49" s="3" t="s">
        <v>19</v>
      </c>
      <c r="D49" s="3" t="s">
        <v>20</v>
      </c>
      <c r="E49" s="3" t="s">
        <v>21</v>
      </c>
      <c r="F49" s="4" t="s">
        <v>22</v>
      </c>
      <c r="G49" s="3" t="s">
        <v>23</v>
      </c>
      <c r="H49" t="s">
        <v>249</v>
      </c>
      <c r="I49" t="s">
        <v>25</v>
      </c>
      <c r="J49" s="6">
        <v>46014</v>
      </c>
      <c r="K49" t="s">
        <v>250</v>
      </c>
      <c r="L49" t="s">
        <v>18</v>
      </c>
      <c r="M49" s="3" t="s">
        <v>27</v>
      </c>
      <c r="N49" t="s">
        <v>251</v>
      </c>
      <c r="O49" t="s">
        <v>18</v>
      </c>
      <c r="P49" t="s">
        <v>252</v>
      </c>
      <c r="Q49" t="s">
        <v>253</v>
      </c>
      <c r="S49" t="s">
        <v>18</v>
      </c>
      <c r="T49" t="s">
        <v>18</v>
      </c>
    </row>
    <row r="50" spans="1:20">
      <c r="A50" t="str">
        <f t="shared" si="0"/>
        <v>NodeRed-16-000049</v>
      </c>
      <c r="B50" t="s">
        <v>18</v>
      </c>
      <c r="C50" s="3" t="s">
        <v>19</v>
      </c>
      <c r="D50" s="3" t="s">
        <v>20</v>
      </c>
      <c r="E50" s="3" t="s">
        <v>21</v>
      </c>
      <c r="F50" s="4" t="s">
        <v>22</v>
      </c>
      <c r="G50" s="3" t="s">
        <v>23</v>
      </c>
      <c r="H50" t="s">
        <v>129</v>
      </c>
      <c r="I50" t="s">
        <v>25</v>
      </c>
      <c r="J50" s="6">
        <v>46014</v>
      </c>
      <c r="K50" t="s">
        <v>254</v>
      </c>
      <c r="L50" t="s">
        <v>18</v>
      </c>
      <c r="M50" s="3" t="s">
        <v>27</v>
      </c>
      <c r="N50" t="s">
        <v>255</v>
      </c>
      <c r="O50" t="s">
        <v>18</v>
      </c>
      <c r="P50" t="s">
        <v>49</v>
      </c>
      <c r="Q50" t="s">
        <v>256</v>
      </c>
      <c r="S50" t="s">
        <v>18</v>
      </c>
      <c r="T50" t="s">
        <v>18</v>
      </c>
    </row>
    <row r="51" spans="1:20">
      <c r="A51" t="str">
        <f t="shared" si="0"/>
        <v>NodeRed-16-000050</v>
      </c>
      <c r="B51" t="s">
        <v>18</v>
      </c>
      <c r="C51" s="3" t="s">
        <v>19</v>
      </c>
      <c r="D51" s="3" t="s">
        <v>20</v>
      </c>
      <c r="E51" s="3" t="s">
        <v>21</v>
      </c>
      <c r="F51" s="4" t="s">
        <v>22</v>
      </c>
      <c r="G51" s="3" t="s">
        <v>23</v>
      </c>
      <c r="H51" t="s">
        <v>257</v>
      </c>
      <c r="I51" t="s">
        <v>25</v>
      </c>
      <c r="J51" s="6">
        <v>46014</v>
      </c>
      <c r="K51" t="s">
        <v>258</v>
      </c>
      <c r="L51" t="s">
        <v>18</v>
      </c>
      <c r="M51" s="3" t="s">
        <v>27</v>
      </c>
      <c r="N51" t="s">
        <v>259</v>
      </c>
      <c r="O51" t="s">
        <v>18</v>
      </c>
      <c r="P51" t="s">
        <v>260</v>
      </c>
      <c r="Q51" t="s">
        <v>261</v>
      </c>
      <c r="S51" t="s">
        <v>18</v>
      </c>
      <c r="T51" t="s">
        <v>18</v>
      </c>
    </row>
    <row r="52" spans="1:20">
      <c r="A52" t="str">
        <f t="shared" si="0"/>
        <v>NodeRed-16-000051</v>
      </c>
      <c r="B52" t="s">
        <v>18</v>
      </c>
      <c r="C52" s="3" t="s">
        <v>19</v>
      </c>
      <c r="D52" s="3" t="s">
        <v>20</v>
      </c>
      <c r="E52" s="3" t="s">
        <v>21</v>
      </c>
      <c r="F52" s="4" t="s">
        <v>22</v>
      </c>
      <c r="G52" s="3" t="s">
        <v>23</v>
      </c>
      <c r="H52" t="s">
        <v>262</v>
      </c>
      <c r="I52" t="s">
        <v>25</v>
      </c>
      <c r="J52" s="6">
        <v>46014</v>
      </c>
      <c r="K52" t="s">
        <v>263</v>
      </c>
      <c r="L52" t="s">
        <v>18</v>
      </c>
      <c r="M52" s="3" t="s">
        <v>27</v>
      </c>
      <c r="N52" t="s">
        <v>264</v>
      </c>
      <c r="O52" t="s">
        <v>18</v>
      </c>
      <c r="P52" t="s">
        <v>59</v>
      </c>
      <c r="Q52" t="s">
        <v>265</v>
      </c>
      <c r="S52" t="s">
        <v>18</v>
      </c>
      <c r="T52" t="s">
        <v>18</v>
      </c>
    </row>
    <row r="53" spans="1:20">
      <c r="A53" t="str">
        <f t="shared" si="0"/>
        <v>NodeRed-16-000052</v>
      </c>
      <c r="B53" t="s">
        <v>18</v>
      </c>
      <c r="C53" s="3" t="s">
        <v>19</v>
      </c>
      <c r="D53" s="3" t="s">
        <v>20</v>
      </c>
      <c r="E53" s="3" t="s">
        <v>21</v>
      </c>
      <c r="F53" s="4" t="s">
        <v>22</v>
      </c>
      <c r="G53" s="3" t="s">
        <v>23</v>
      </c>
      <c r="H53" t="s">
        <v>170</v>
      </c>
      <c r="I53" t="s">
        <v>25</v>
      </c>
      <c r="J53" s="6">
        <v>46014</v>
      </c>
      <c r="K53" t="s">
        <v>266</v>
      </c>
      <c r="L53" t="s">
        <v>18</v>
      </c>
      <c r="M53" s="3" t="s">
        <v>27</v>
      </c>
      <c r="N53" t="s">
        <v>267</v>
      </c>
      <c r="O53" t="s">
        <v>18</v>
      </c>
      <c r="P53" t="s">
        <v>151</v>
      </c>
      <c r="Q53" t="s">
        <v>268</v>
      </c>
      <c r="S53" t="s">
        <v>18</v>
      </c>
      <c r="T53" t="s">
        <v>18</v>
      </c>
    </row>
    <row r="54" spans="1:20">
      <c r="A54" t="str">
        <f t="shared" si="0"/>
        <v>NodeRed-16-000053</v>
      </c>
      <c r="B54" t="s">
        <v>18</v>
      </c>
      <c r="C54" s="3" t="s">
        <v>19</v>
      </c>
      <c r="D54" s="3" t="s">
        <v>20</v>
      </c>
      <c r="E54" s="3" t="s">
        <v>21</v>
      </c>
      <c r="F54" s="4" t="s">
        <v>22</v>
      </c>
      <c r="G54" s="3" t="s">
        <v>23</v>
      </c>
      <c r="H54" t="s">
        <v>269</v>
      </c>
      <c r="I54" t="s">
        <v>25</v>
      </c>
      <c r="J54" s="6">
        <v>46014</v>
      </c>
      <c r="K54" t="s">
        <v>270</v>
      </c>
      <c r="L54" t="s">
        <v>18</v>
      </c>
      <c r="M54" s="3" t="s">
        <v>27</v>
      </c>
      <c r="N54" t="s">
        <v>271</v>
      </c>
      <c r="O54" t="s">
        <v>18</v>
      </c>
      <c r="P54" t="s">
        <v>272</v>
      </c>
      <c r="Q54" t="s">
        <v>273</v>
      </c>
      <c r="S54" t="s">
        <v>18</v>
      </c>
      <c r="T54" t="s">
        <v>18</v>
      </c>
    </row>
    <row r="55" spans="1:20">
      <c r="A55" t="str">
        <f t="shared" si="0"/>
        <v>NodeRed-16-000054</v>
      </c>
      <c r="B55" t="s">
        <v>18</v>
      </c>
      <c r="C55" s="3" t="s">
        <v>19</v>
      </c>
      <c r="D55" s="3" t="s">
        <v>20</v>
      </c>
      <c r="E55" s="3" t="s">
        <v>21</v>
      </c>
      <c r="F55" s="4" t="s">
        <v>22</v>
      </c>
      <c r="G55" s="3" t="s">
        <v>23</v>
      </c>
      <c r="H55" t="s">
        <v>274</v>
      </c>
      <c r="I55" t="s">
        <v>25</v>
      </c>
      <c r="J55" s="6">
        <v>46014</v>
      </c>
      <c r="K55" t="s">
        <v>275</v>
      </c>
      <c r="L55" t="s">
        <v>18</v>
      </c>
      <c r="M55" s="3" t="s">
        <v>27</v>
      </c>
      <c r="N55" t="s">
        <v>276</v>
      </c>
      <c r="O55" t="s">
        <v>18</v>
      </c>
      <c r="P55" t="s">
        <v>277</v>
      </c>
      <c r="Q55" t="s">
        <v>278</v>
      </c>
      <c r="S55" t="s">
        <v>18</v>
      </c>
      <c r="T55" t="s">
        <v>18</v>
      </c>
    </row>
    <row r="56" spans="1:20">
      <c r="A56" t="str">
        <f t="shared" si="0"/>
        <v>NodeRed-16-000055</v>
      </c>
      <c r="B56" t="s">
        <v>18</v>
      </c>
      <c r="C56" s="3" t="s">
        <v>19</v>
      </c>
      <c r="D56" s="3" t="s">
        <v>20</v>
      </c>
      <c r="E56" s="3" t="s">
        <v>21</v>
      </c>
      <c r="F56" s="4" t="s">
        <v>22</v>
      </c>
      <c r="G56" s="3" t="s">
        <v>23</v>
      </c>
      <c r="H56" t="s">
        <v>279</v>
      </c>
      <c r="I56" t="s">
        <v>25</v>
      </c>
      <c r="J56" s="6">
        <v>46014</v>
      </c>
      <c r="K56" t="s">
        <v>280</v>
      </c>
      <c r="L56" t="s">
        <v>18</v>
      </c>
      <c r="M56" s="3" t="s">
        <v>27</v>
      </c>
      <c r="N56" t="s">
        <v>281</v>
      </c>
      <c r="O56" t="s">
        <v>18</v>
      </c>
      <c r="P56" t="s">
        <v>229</v>
      </c>
      <c r="Q56" t="s">
        <v>282</v>
      </c>
      <c r="S56" t="s">
        <v>18</v>
      </c>
      <c r="T56" t="s">
        <v>18</v>
      </c>
    </row>
    <row r="57" spans="1:20">
      <c r="A57" t="str">
        <f t="shared" si="0"/>
        <v>NodeRed-16-000056</v>
      </c>
      <c r="B57" t="s">
        <v>18</v>
      </c>
      <c r="C57" s="3" t="s">
        <v>19</v>
      </c>
      <c r="D57" s="3" t="s">
        <v>20</v>
      </c>
      <c r="E57" s="3" t="s">
        <v>21</v>
      </c>
      <c r="F57" s="4" t="s">
        <v>22</v>
      </c>
      <c r="G57" s="3" t="s">
        <v>23</v>
      </c>
      <c r="H57" t="s">
        <v>283</v>
      </c>
      <c r="I57" t="s">
        <v>25</v>
      </c>
      <c r="J57" s="6">
        <v>46014</v>
      </c>
      <c r="K57" t="s">
        <v>284</v>
      </c>
      <c r="L57" t="s">
        <v>18</v>
      </c>
      <c r="M57" s="3" t="s">
        <v>27</v>
      </c>
      <c r="N57" t="s">
        <v>285</v>
      </c>
      <c r="O57" t="s">
        <v>18</v>
      </c>
      <c r="P57" t="s">
        <v>286</v>
      </c>
      <c r="Q57" t="s">
        <v>287</v>
      </c>
      <c r="S57" t="s">
        <v>18</v>
      </c>
      <c r="T57" t="s">
        <v>18</v>
      </c>
    </row>
    <row r="58" spans="1:20">
      <c r="A58" t="str">
        <f t="shared" si="0"/>
        <v>NodeRed-16-000057</v>
      </c>
      <c r="B58" t="s">
        <v>18</v>
      </c>
      <c r="C58" s="3" t="s">
        <v>19</v>
      </c>
      <c r="D58" s="3" t="s">
        <v>20</v>
      </c>
      <c r="E58" s="3" t="s">
        <v>21</v>
      </c>
      <c r="F58" s="4" t="s">
        <v>22</v>
      </c>
      <c r="G58" s="3" t="s">
        <v>23</v>
      </c>
      <c r="H58" t="s">
        <v>288</v>
      </c>
      <c r="I58" t="s">
        <v>25</v>
      </c>
      <c r="J58" s="6">
        <v>46014</v>
      </c>
      <c r="K58" t="s">
        <v>289</v>
      </c>
      <c r="L58" t="s">
        <v>18</v>
      </c>
      <c r="M58" s="3" t="s">
        <v>27</v>
      </c>
      <c r="N58" t="s">
        <v>290</v>
      </c>
      <c r="O58" t="s">
        <v>18</v>
      </c>
      <c r="P58" t="s">
        <v>291</v>
      </c>
      <c r="Q58" t="s">
        <v>292</v>
      </c>
      <c r="S58" t="s">
        <v>18</v>
      </c>
      <c r="T58" t="s">
        <v>18</v>
      </c>
    </row>
    <row r="59" spans="1:20">
      <c r="A59" t="str">
        <f t="shared" si="0"/>
        <v>NodeRed-16-000058</v>
      </c>
      <c r="B59" t="s">
        <v>18</v>
      </c>
      <c r="C59" s="3" t="s">
        <v>19</v>
      </c>
      <c r="D59" s="3" t="s">
        <v>20</v>
      </c>
      <c r="E59" s="3" t="s">
        <v>21</v>
      </c>
      <c r="F59" s="4" t="s">
        <v>22</v>
      </c>
      <c r="G59" s="3" t="s">
        <v>23</v>
      </c>
      <c r="H59" t="s">
        <v>293</v>
      </c>
      <c r="I59" t="s">
        <v>25</v>
      </c>
      <c r="J59" s="6">
        <v>46014</v>
      </c>
      <c r="K59" t="s">
        <v>294</v>
      </c>
      <c r="L59" t="s">
        <v>18</v>
      </c>
      <c r="M59" s="3" t="s">
        <v>27</v>
      </c>
      <c r="N59" t="s">
        <v>295</v>
      </c>
      <c r="O59" t="s">
        <v>18</v>
      </c>
      <c r="P59" t="s">
        <v>296</v>
      </c>
      <c r="Q59" t="s">
        <v>297</v>
      </c>
      <c r="S59" t="s">
        <v>18</v>
      </c>
      <c r="T59" t="s">
        <v>18</v>
      </c>
    </row>
    <row r="60" spans="1:20">
      <c r="A60" t="str">
        <f t="shared" si="0"/>
        <v>NodeRed-16-000059</v>
      </c>
      <c r="B60" t="s">
        <v>18</v>
      </c>
      <c r="C60" s="3" t="s">
        <v>19</v>
      </c>
      <c r="D60" s="3" t="s">
        <v>20</v>
      </c>
      <c r="E60" s="3" t="s">
        <v>21</v>
      </c>
      <c r="F60" s="4" t="s">
        <v>22</v>
      </c>
      <c r="G60" s="3" t="s">
        <v>23</v>
      </c>
      <c r="H60" t="s">
        <v>298</v>
      </c>
      <c r="I60" t="s">
        <v>25</v>
      </c>
      <c r="J60" s="6">
        <v>46014</v>
      </c>
      <c r="K60" t="s">
        <v>299</v>
      </c>
      <c r="L60" t="s">
        <v>18</v>
      </c>
      <c r="M60" s="3" t="s">
        <v>27</v>
      </c>
      <c r="N60" t="s">
        <v>300</v>
      </c>
      <c r="O60" t="s">
        <v>18</v>
      </c>
      <c r="P60" t="s">
        <v>301</v>
      </c>
      <c r="Q60" t="s">
        <v>302</v>
      </c>
      <c r="S60" t="s">
        <v>18</v>
      </c>
      <c r="T60" t="s">
        <v>18</v>
      </c>
    </row>
    <row r="61" spans="1:20">
      <c r="A61" t="str">
        <f t="shared" si="0"/>
        <v>NodeRed-16-000060</v>
      </c>
      <c r="B61" t="s">
        <v>18</v>
      </c>
      <c r="C61" s="3" t="s">
        <v>19</v>
      </c>
      <c r="D61" s="3" t="s">
        <v>20</v>
      </c>
      <c r="E61" s="3" t="s">
        <v>21</v>
      </c>
      <c r="F61" s="4" t="s">
        <v>22</v>
      </c>
      <c r="G61" s="3" t="s">
        <v>23</v>
      </c>
      <c r="H61" t="s">
        <v>303</v>
      </c>
      <c r="I61" t="s">
        <v>25</v>
      </c>
      <c r="J61" s="6">
        <v>46014</v>
      </c>
      <c r="K61" t="s">
        <v>304</v>
      </c>
      <c r="L61" t="s">
        <v>18</v>
      </c>
      <c r="M61" s="3" t="s">
        <v>27</v>
      </c>
      <c r="N61" t="s">
        <v>305</v>
      </c>
      <c r="O61" t="s">
        <v>18</v>
      </c>
      <c r="P61" t="s">
        <v>117</v>
      </c>
      <c r="Q61" t="s">
        <v>306</v>
      </c>
      <c r="S61" t="s">
        <v>18</v>
      </c>
      <c r="T61" t="s">
        <v>18</v>
      </c>
    </row>
    <row r="62" spans="1:20">
      <c r="A62" t="str">
        <f t="shared" si="0"/>
        <v>NodeRed-16-000061</v>
      </c>
      <c r="B62" t="s">
        <v>18</v>
      </c>
      <c r="C62" s="3" t="s">
        <v>19</v>
      </c>
      <c r="D62" s="3" t="s">
        <v>20</v>
      </c>
      <c r="E62" s="3" t="s">
        <v>21</v>
      </c>
      <c r="F62" s="4" t="s">
        <v>22</v>
      </c>
      <c r="G62" s="3" t="s">
        <v>23</v>
      </c>
      <c r="H62" t="s">
        <v>307</v>
      </c>
      <c r="I62" t="s">
        <v>25</v>
      </c>
      <c r="J62" s="6">
        <v>46014</v>
      </c>
      <c r="K62" t="s">
        <v>308</v>
      </c>
      <c r="L62" t="s">
        <v>18</v>
      </c>
      <c r="M62" s="3" t="s">
        <v>27</v>
      </c>
      <c r="N62" t="s">
        <v>309</v>
      </c>
      <c r="O62" t="s">
        <v>18</v>
      </c>
      <c r="P62" t="s">
        <v>310</v>
      </c>
      <c r="Q62" t="s">
        <v>311</v>
      </c>
      <c r="S62" t="s">
        <v>18</v>
      </c>
      <c r="T62" t="s">
        <v>18</v>
      </c>
    </row>
    <row r="63" spans="1:20">
      <c r="A63" t="str">
        <f t="shared" si="0"/>
        <v>NodeRed-16-000062</v>
      </c>
      <c r="B63" t="s">
        <v>18</v>
      </c>
      <c r="C63" s="3" t="s">
        <v>19</v>
      </c>
      <c r="D63" s="3" t="s">
        <v>20</v>
      </c>
      <c r="E63" s="3" t="s">
        <v>21</v>
      </c>
      <c r="F63" s="4" t="s">
        <v>22</v>
      </c>
      <c r="G63" s="3" t="s">
        <v>23</v>
      </c>
      <c r="H63" t="s">
        <v>312</v>
      </c>
      <c r="I63" t="s">
        <v>25</v>
      </c>
      <c r="J63" s="6">
        <v>46014</v>
      </c>
      <c r="K63" t="s">
        <v>313</v>
      </c>
      <c r="L63" t="s">
        <v>18</v>
      </c>
      <c r="M63" s="3" t="s">
        <v>27</v>
      </c>
      <c r="N63" t="s">
        <v>314</v>
      </c>
      <c r="O63" t="s">
        <v>18</v>
      </c>
      <c r="P63" t="s">
        <v>315</v>
      </c>
      <c r="Q63" t="s">
        <v>316</v>
      </c>
      <c r="S63" t="s">
        <v>18</v>
      </c>
      <c r="T63" t="s">
        <v>18</v>
      </c>
    </row>
    <row r="64" spans="1:20">
      <c r="A64" t="str">
        <f t="shared" si="0"/>
        <v>NodeRed-16-000063</v>
      </c>
      <c r="B64" t="s">
        <v>18</v>
      </c>
      <c r="C64" s="3" t="s">
        <v>19</v>
      </c>
      <c r="D64" s="3" t="s">
        <v>20</v>
      </c>
      <c r="E64" s="3" t="s">
        <v>21</v>
      </c>
      <c r="F64" s="4" t="s">
        <v>22</v>
      </c>
      <c r="G64" s="3" t="s">
        <v>23</v>
      </c>
      <c r="H64" t="s">
        <v>317</v>
      </c>
      <c r="I64" t="s">
        <v>25</v>
      </c>
      <c r="J64" s="6">
        <v>46014</v>
      </c>
      <c r="K64" t="s">
        <v>318</v>
      </c>
      <c r="L64" t="s">
        <v>18</v>
      </c>
      <c r="M64" s="3" t="s">
        <v>27</v>
      </c>
      <c r="N64" t="s">
        <v>319</v>
      </c>
      <c r="O64" t="s">
        <v>18</v>
      </c>
      <c r="P64" t="s">
        <v>229</v>
      </c>
      <c r="Q64" t="s">
        <v>320</v>
      </c>
      <c r="S64" t="s">
        <v>18</v>
      </c>
      <c r="T64" t="s">
        <v>18</v>
      </c>
    </row>
    <row r="65" spans="1:20">
      <c r="A65" t="str">
        <f t="shared" si="0"/>
        <v>NodeRed-16-000064</v>
      </c>
      <c r="B65" t="s">
        <v>18</v>
      </c>
      <c r="C65" s="3" t="s">
        <v>19</v>
      </c>
      <c r="D65" s="3" t="s">
        <v>20</v>
      </c>
      <c r="E65" s="3" t="s">
        <v>21</v>
      </c>
      <c r="F65" s="4" t="s">
        <v>22</v>
      </c>
      <c r="G65" s="3" t="s">
        <v>23</v>
      </c>
      <c r="H65" t="s">
        <v>321</v>
      </c>
      <c r="I65" t="s">
        <v>25</v>
      </c>
      <c r="J65" s="6">
        <v>46014</v>
      </c>
      <c r="K65" t="s">
        <v>322</v>
      </c>
      <c r="L65" t="s">
        <v>18</v>
      </c>
      <c r="M65" s="3" t="s">
        <v>27</v>
      </c>
      <c r="N65" t="s">
        <v>323</v>
      </c>
      <c r="O65" t="s">
        <v>18</v>
      </c>
      <c r="P65" t="s">
        <v>324</v>
      </c>
      <c r="Q65" t="s">
        <v>325</v>
      </c>
      <c r="S65" t="s">
        <v>18</v>
      </c>
      <c r="T65" t="s">
        <v>18</v>
      </c>
    </row>
    <row r="66" spans="1:20">
      <c r="A66" t="str">
        <f t="shared" ref="A66:A129" si="1">_xlfn.CONCAT("NodeRed-16-",TEXT(ROW()-1,"000000"))</f>
        <v>NodeRed-16-000065</v>
      </c>
      <c r="B66" t="s">
        <v>18</v>
      </c>
      <c r="C66" s="3" t="s">
        <v>19</v>
      </c>
      <c r="D66" s="3" t="s">
        <v>20</v>
      </c>
      <c r="E66" s="3" t="s">
        <v>21</v>
      </c>
      <c r="F66" s="4" t="s">
        <v>22</v>
      </c>
      <c r="G66" s="3" t="s">
        <v>23</v>
      </c>
      <c r="H66" t="s">
        <v>326</v>
      </c>
      <c r="I66" t="s">
        <v>25</v>
      </c>
      <c r="J66" s="6">
        <v>46014</v>
      </c>
      <c r="K66" t="s">
        <v>327</v>
      </c>
      <c r="L66" t="s">
        <v>18</v>
      </c>
      <c r="M66" s="3" t="s">
        <v>27</v>
      </c>
      <c r="N66" t="s">
        <v>328</v>
      </c>
      <c r="O66" t="s">
        <v>18</v>
      </c>
      <c r="P66" t="s">
        <v>329</v>
      </c>
      <c r="Q66" t="s">
        <v>330</v>
      </c>
      <c r="S66" t="s">
        <v>18</v>
      </c>
      <c r="T66" t="s">
        <v>18</v>
      </c>
    </row>
    <row r="67" spans="1:20">
      <c r="A67" t="str">
        <f t="shared" si="1"/>
        <v>NodeRed-16-000066</v>
      </c>
      <c r="B67" t="s">
        <v>18</v>
      </c>
      <c r="C67" s="3" t="s">
        <v>19</v>
      </c>
      <c r="D67" s="3" t="s">
        <v>20</v>
      </c>
      <c r="E67" s="3" t="s">
        <v>21</v>
      </c>
      <c r="F67" s="4" t="s">
        <v>22</v>
      </c>
      <c r="G67" s="3" t="s">
        <v>23</v>
      </c>
      <c r="H67" t="s">
        <v>331</v>
      </c>
      <c r="I67" t="s">
        <v>25</v>
      </c>
      <c r="J67" s="6">
        <v>46014</v>
      </c>
      <c r="K67" t="s">
        <v>332</v>
      </c>
      <c r="L67" t="s">
        <v>18</v>
      </c>
      <c r="M67" s="3" t="s">
        <v>27</v>
      </c>
      <c r="N67" t="s">
        <v>333</v>
      </c>
      <c r="O67" t="s">
        <v>18</v>
      </c>
      <c r="P67" t="s">
        <v>49</v>
      </c>
      <c r="Q67" t="s">
        <v>334</v>
      </c>
      <c r="S67" t="s">
        <v>18</v>
      </c>
      <c r="T67" t="s">
        <v>18</v>
      </c>
    </row>
    <row r="68" spans="1:20">
      <c r="A68" t="str">
        <f t="shared" si="1"/>
        <v>NodeRed-16-000067</v>
      </c>
      <c r="B68" t="s">
        <v>18</v>
      </c>
      <c r="C68" s="3" t="s">
        <v>19</v>
      </c>
      <c r="D68" s="3" t="s">
        <v>20</v>
      </c>
      <c r="E68" s="3" t="s">
        <v>21</v>
      </c>
      <c r="F68" s="4" t="s">
        <v>22</v>
      </c>
      <c r="G68" s="3" t="s">
        <v>23</v>
      </c>
      <c r="H68" t="s">
        <v>335</v>
      </c>
      <c r="I68" t="s">
        <v>25</v>
      </c>
      <c r="J68" s="6">
        <v>46014</v>
      </c>
      <c r="K68" t="s">
        <v>336</v>
      </c>
      <c r="L68" t="s">
        <v>18</v>
      </c>
      <c r="M68" s="3" t="s">
        <v>27</v>
      </c>
      <c r="N68" t="s">
        <v>337</v>
      </c>
      <c r="O68" t="s">
        <v>18</v>
      </c>
      <c r="P68" t="s">
        <v>338</v>
      </c>
      <c r="Q68" t="s">
        <v>339</v>
      </c>
      <c r="S68" t="s">
        <v>18</v>
      </c>
      <c r="T68" t="s">
        <v>18</v>
      </c>
    </row>
    <row r="69" spans="1:20">
      <c r="A69" t="str">
        <f t="shared" si="1"/>
        <v>NodeRed-16-000068</v>
      </c>
      <c r="B69" t="s">
        <v>18</v>
      </c>
      <c r="C69" s="3" t="s">
        <v>19</v>
      </c>
      <c r="D69" s="3" t="s">
        <v>20</v>
      </c>
      <c r="E69" s="3" t="s">
        <v>21</v>
      </c>
      <c r="F69" s="4" t="s">
        <v>22</v>
      </c>
      <c r="G69" s="3" t="s">
        <v>23</v>
      </c>
      <c r="H69" t="s">
        <v>340</v>
      </c>
      <c r="I69" t="s">
        <v>25</v>
      </c>
      <c r="J69" s="6">
        <v>46014</v>
      </c>
      <c r="K69" t="s">
        <v>341</v>
      </c>
      <c r="L69" t="s">
        <v>18</v>
      </c>
      <c r="M69" s="3" t="s">
        <v>27</v>
      </c>
      <c r="N69" t="s">
        <v>342</v>
      </c>
      <c r="O69" t="s">
        <v>18</v>
      </c>
      <c r="P69" t="s">
        <v>69</v>
      </c>
      <c r="Q69" t="s">
        <v>343</v>
      </c>
      <c r="S69" t="s">
        <v>18</v>
      </c>
      <c r="T69" t="s">
        <v>18</v>
      </c>
    </row>
    <row r="70" spans="1:20">
      <c r="A70" t="str">
        <f t="shared" si="1"/>
        <v>NodeRed-16-000069</v>
      </c>
      <c r="B70" t="s">
        <v>18</v>
      </c>
      <c r="C70" s="3" t="s">
        <v>19</v>
      </c>
      <c r="D70" s="3" t="s">
        <v>20</v>
      </c>
      <c r="E70" s="3" t="s">
        <v>21</v>
      </c>
      <c r="F70" s="4" t="s">
        <v>22</v>
      </c>
      <c r="G70" s="3" t="s">
        <v>23</v>
      </c>
      <c r="H70" t="s">
        <v>344</v>
      </c>
      <c r="I70" t="s">
        <v>25</v>
      </c>
      <c r="J70" s="6">
        <v>46014</v>
      </c>
      <c r="K70" t="s">
        <v>345</v>
      </c>
      <c r="L70" t="s">
        <v>18</v>
      </c>
      <c r="M70" s="3" t="s">
        <v>27</v>
      </c>
      <c r="N70" t="s">
        <v>346</v>
      </c>
      <c r="O70" t="s">
        <v>18</v>
      </c>
      <c r="P70" t="s">
        <v>347</v>
      </c>
      <c r="Q70" t="s">
        <v>348</v>
      </c>
      <c r="S70" t="s">
        <v>18</v>
      </c>
      <c r="T70" t="s">
        <v>18</v>
      </c>
    </row>
    <row r="71" spans="1:20">
      <c r="A71" t="str">
        <f t="shared" si="1"/>
        <v>NodeRed-16-000070</v>
      </c>
      <c r="B71" t="s">
        <v>18</v>
      </c>
      <c r="C71" s="3" t="s">
        <v>19</v>
      </c>
      <c r="D71" s="3" t="s">
        <v>20</v>
      </c>
      <c r="E71" s="3" t="s">
        <v>21</v>
      </c>
      <c r="F71" s="4" t="s">
        <v>22</v>
      </c>
      <c r="G71" s="3" t="s">
        <v>23</v>
      </c>
      <c r="H71" t="s">
        <v>349</v>
      </c>
      <c r="I71" t="s">
        <v>25</v>
      </c>
      <c r="J71" s="6">
        <v>46014</v>
      </c>
      <c r="K71" t="s">
        <v>350</v>
      </c>
      <c r="L71" t="s">
        <v>18</v>
      </c>
      <c r="M71" s="3" t="s">
        <v>27</v>
      </c>
      <c r="N71" t="s">
        <v>351</v>
      </c>
      <c r="O71" t="s">
        <v>18</v>
      </c>
      <c r="P71" t="s">
        <v>352</v>
      </c>
      <c r="Q71" t="s">
        <v>353</v>
      </c>
      <c r="S71" t="s">
        <v>18</v>
      </c>
      <c r="T71" t="s">
        <v>18</v>
      </c>
    </row>
    <row r="72" spans="1:20">
      <c r="A72" t="str">
        <f t="shared" si="1"/>
        <v>NodeRed-16-000071</v>
      </c>
      <c r="B72" t="s">
        <v>18</v>
      </c>
      <c r="C72" s="3" t="s">
        <v>19</v>
      </c>
      <c r="D72" s="3" t="s">
        <v>20</v>
      </c>
      <c r="E72" s="3" t="s">
        <v>21</v>
      </c>
      <c r="F72" s="4" t="s">
        <v>22</v>
      </c>
      <c r="G72" s="3" t="s">
        <v>23</v>
      </c>
      <c r="H72" t="s">
        <v>76</v>
      </c>
      <c r="I72" t="s">
        <v>25</v>
      </c>
      <c r="J72" s="6">
        <v>46014</v>
      </c>
      <c r="K72" t="s">
        <v>354</v>
      </c>
      <c r="L72" t="s">
        <v>18</v>
      </c>
      <c r="M72" s="3" t="s">
        <v>27</v>
      </c>
      <c r="N72" t="s">
        <v>355</v>
      </c>
      <c r="O72" t="s">
        <v>18</v>
      </c>
      <c r="P72" t="s">
        <v>356</v>
      </c>
      <c r="Q72" t="s">
        <v>357</v>
      </c>
      <c r="S72" t="s">
        <v>18</v>
      </c>
      <c r="T72" t="s">
        <v>18</v>
      </c>
    </row>
    <row r="73" spans="1:20">
      <c r="A73" t="str">
        <f t="shared" si="1"/>
        <v>NodeRed-16-000072</v>
      </c>
      <c r="B73" t="s">
        <v>18</v>
      </c>
      <c r="C73" s="3" t="s">
        <v>19</v>
      </c>
      <c r="D73" s="3" t="s">
        <v>20</v>
      </c>
      <c r="E73" s="3" t="s">
        <v>21</v>
      </c>
      <c r="F73" s="4" t="s">
        <v>22</v>
      </c>
      <c r="G73" s="3" t="s">
        <v>23</v>
      </c>
      <c r="H73" t="s">
        <v>51</v>
      </c>
      <c r="I73" t="s">
        <v>25</v>
      </c>
      <c r="J73" s="6">
        <v>46014</v>
      </c>
      <c r="K73" t="s">
        <v>358</v>
      </c>
      <c r="L73" t="s">
        <v>18</v>
      </c>
      <c r="M73" s="3" t="s">
        <v>27</v>
      </c>
      <c r="N73" t="s">
        <v>359</v>
      </c>
      <c r="O73" t="s">
        <v>18</v>
      </c>
      <c r="P73" t="s">
        <v>360</v>
      </c>
      <c r="Q73" t="s">
        <v>361</v>
      </c>
      <c r="S73" t="s">
        <v>18</v>
      </c>
      <c r="T73" t="s">
        <v>18</v>
      </c>
    </row>
    <row r="74" spans="1:20">
      <c r="A74" t="str">
        <f t="shared" si="1"/>
        <v>NodeRed-16-000073</v>
      </c>
      <c r="B74" t="s">
        <v>18</v>
      </c>
      <c r="C74" s="3" t="s">
        <v>19</v>
      </c>
      <c r="D74" s="3" t="s">
        <v>20</v>
      </c>
      <c r="E74" s="3" t="s">
        <v>21</v>
      </c>
      <c r="F74" s="4" t="s">
        <v>22</v>
      </c>
      <c r="G74" s="3" t="s">
        <v>23</v>
      </c>
      <c r="H74" t="s">
        <v>188</v>
      </c>
      <c r="I74" t="s">
        <v>25</v>
      </c>
      <c r="J74" s="6">
        <v>46014</v>
      </c>
      <c r="K74" t="s">
        <v>362</v>
      </c>
      <c r="L74" t="s">
        <v>18</v>
      </c>
      <c r="M74" s="3" t="s">
        <v>27</v>
      </c>
      <c r="N74" t="s">
        <v>363</v>
      </c>
      <c r="O74" t="s">
        <v>18</v>
      </c>
      <c r="P74" t="s">
        <v>364</v>
      </c>
      <c r="Q74" t="s">
        <v>365</v>
      </c>
      <c r="S74" t="s">
        <v>18</v>
      </c>
      <c r="T74" t="s">
        <v>18</v>
      </c>
    </row>
    <row r="75" spans="1:20">
      <c r="A75" t="str">
        <f t="shared" si="1"/>
        <v>NodeRed-16-000074</v>
      </c>
      <c r="B75" t="s">
        <v>18</v>
      </c>
      <c r="C75" s="3" t="s">
        <v>19</v>
      </c>
      <c r="D75" s="3" t="s">
        <v>20</v>
      </c>
      <c r="E75" s="3" t="s">
        <v>21</v>
      </c>
      <c r="F75" s="4" t="s">
        <v>22</v>
      </c>
      <c r="G75" s="3" t="s">
        <v>23</v>
      </c>
      <c r="H75" t="s">
        <v>366</v>
      </c>
      <c r="I75" t="s">
        <v>25</v>
      </c>
      <c r="J75" s="6">
        <v>46014</v>
      </c>
      <c r="K75" t="s">
        <v>367</v>
      </c>
      <c r="L75" t="s">
        <v>18</v>
      </c>
      <c r="M75" s="3" t="s">
        <v>27</v>
      </c>
      <c r="N75" t="s">
        <v>368</v>
      </c>
      <c r="O75" t="s">
        <v>18</v>
      </c>
      <c r="P75" t="s">
        <v>369</v>
      </c>
      <c r="Q75" t="s">
        <v>370</v>
      </c>
      <c r="S75" t="s">
        <v>18</v>
      </c>
      <c r="T75" t="s">
        <v>18</v>
      </c>
    </row>
    <row r="76" spans="1:20">
      <c r="A76" t="str">
        <f t="shared" si="1"/>
        <v>NodeRed-16-000075</v>
      </c>
      <c r="B76" t="s">
        <v>18</v>
      </c>
      <c r="C76" s="3" t="s">
        <v>19</v>
      </c>
      <c r="D76" s="3" t="s">
        <v>20</v>
      </c>
      <c r="E76" s="3" t="s">
        <v>21</v>
      </c>
      <c r="F76" s="4" t="s">
        <v>22</v>
      </c>
      <c r="G76" s="3" t="s">
        <v>23</v>
      </c>
      <c r="H76" t="s">
        <v>371</v>
      </c>
      <c r="I76" t="s">
        <v>25</v>
      </c>
      <c r="J76" s="6">
        <v>46014</v>
      </c>
      <c r="K76" t="s">
        <v>372</v>
      </c>
      <c r="L76" t="s">
        <v>18</v>
      </c>
      <c r="M76" s="3" t="s">
        <v>27</v>
      </c>
      <c r="N76" t="s">
        <v>373</v>
      </c>
      <c r="O76" t="s">
        <v>18</v>
      </c>
      <c r="P76" t="s">
        <v>122</v>
      </c>
      <c r="Q76" t="s">
        <v>374</v>
      </c>
      <c r="S76" t="s">
        <v>18</v>
      </c>
      <c r="T76" t="s">
        <v>18</v>
      </c>
    </row>
    <row r="77" spans="1:20">
      <c r="A77" t="str">
        <f t="shared" si="1"/>
        <v>NodeRed-16-000076</v>
      </c>
      <c r="B77" t="s">
        <v>18</v>
      </c>
      <c r="C77" s="3" t="s">
        <v>19</v>
      </c>
      <c r="D77" s="3" t="s">
        <v>20</v>
      </c>
      <c r="E77" s="3" t="s">
        <v>21</v>
      </c>
      <c r="F77" s="4" t="s">
        <v>22</v>
      </c>
      <c r="G77" s="3" t="s">
        <v>23</v>
      </c>
      <c r="H77" t="s">
        <v>375</v>
      </c>
      <c r="I77" t="s">
        <v>25</v>
      </c>
      <c r="J77" s="6">
        <v>46014</v>
      </c>
      <c r="K77" t="s">
        <v>376</v>
      </c>
      <c r="L77" t="s">
        <v>18</v>
      </c>
      <c r="M77" s="3" t="s">
        <v>27</v>
      </c>
      <c r="N77" t="s">
        <v>377</v>
      </c>
      <c r="O77" t="s">
        <v>18</v>
      </c>
      <c r="P77" t="s">
        <v>151</v>
      </c>
      <c r="Q77" t="s">
        <v>378</v>
      </c>
      <c r="S77" t="s">
        <v>18</v>
      </c>
      <c r="T77" t="s">
        <v>18</v>
      </c>
    </row>
    <row r="78" spans="1:20">
      <c r="A78" t="str">
        <f t="shared" si="1"/>
        <v>NodeRed-16-000077</v>
      </c>
      <c r="B78" t="s">
        <v>18</v>
      </c>
      <c r="C78" s="3" t="s">
        <v>19</v>
      </c>
      <c r="D78" s="3" t="s">
        <v>20</v>
      </c>
      <c r="E78" s="3" t="s">
        <v>21</v>
      </c>
      <c r="F78" s="4" t="s">
        <v>22</v>
      </c>
      <c r="G78" s="3" t="s">
        <v>23</v>
      </c>
      <c r="H78" t="s">
        <v>379</v>
      </c>
      <c r="I78" t="s">
        <v>25</v>
      </c>
      <c r="J78" s="6">
        <v>46014</v>
      </c>
      <c r="K78" t="s">
        <v>380</v>
      </c>
      <c r="L78" t="s">
        <v>18</v>
      </c>
      <c r="M78" s="3" t="s">
        <v>27</v>
      </c>
      <c r="N78" t="s">
        <v>381</v>
      </c>
      <c r="O78" t="s">
        <v>18</v>
      </c>
      <c r="P78" t="s">
        <v>69</v>
      </c>
      <c r="Q78" t="s">
        <v>382</v>
      </c>
      <c r="S78" t="s">
        <v>18</v>
      </c>
      <c r="T78" t="s">
        <v>18</v>
      </c>
    </row>
    <row r="79" spans="1:20">
      <c r="A79" t="str">
        <f t="shared" si="1"/>
        <v>NodeRed-16-000078</v>
      </c>
      <c r="B79" t="s">
        <v>18</v>
      </c>
      <c r="C79" s="3" t="s">
        <v>19</v>
      </c>
      <c r="D79" s="3" t="s">
        <v>20</v>
      </c>
      <c r="E79" s="3" t="s">
        <v>21</v>
      </c>
      <c r="F79" s="4" t="s">
        <v>22</v>
      </c>
      <c r="G79" s="3" t="s">
        <v>23</v>
      </c>
      <c r="H79" t="s">
        <v>383</v>
      </c>
      <c r="I79" t="s">
        <v>25</v>
      </c>
      <c r="J79" s="6">
        <v>46014</v>
      </c>
      <c r="K79" t="s">
        <v>384</v>
      </c>
      <c r="L79" t="s">
        <v>18</v>
      </c>
      <c r="M79" s="3" t="s">
        <v>27</v>
      </c>
      <c r="N79" t="s">
        <v>385</v>
      </c>
      <c r="O79" t="s">
        <v>18</v>
      </c>
      <c r="P79" t="s">
        <v>386</v>
      </c>
      <c r="Q79" t="s">
        <v>387</v>
      </c>
      <c r="S79" t="s">
        <v>18</v>
      </c>
      <c r="T79" t="s">
        <v>18</v>
      </c>
    </row>
    <row r="80" spans="1:20">
      <c r="A80" t="str">
        <f t="shared" si="1"/>
        <v>NodeRed-16-000079</v>
      </c>
      <c r="B80" t="s">
        <v>18</v>
      </c>
      <c r="C80" s="3" t="s">
        <v>19</v>
      </c>
      <c r="D80" s="3" t="s">
        <v>20</v>
      </c>
      <c r="E80" s="3" t="s">
        <v>21</v>
      </c>
      <c r="F80" s="4" t="s">
        <v>22</v>
      </c>
      <c r="G80" s="3" t="s">
        <v>23</v>
      </c>
      <c r="H80" t="s">
        <v>383</v>
      </c>
      <c r="I80" t="s">
        <v>25</v>
      </c>
      <c r="J80" s="6">
        <v>46014</v>
      </c>
      <c r="K80" t="s">
        <v>388</v>
      </c>
      <c r="L80" t="s">
        <v>18</v>
      </c>
      <c r="M80" s="3" t="s">
        <v>27</v>
      </c>
      <c r="N80" t="s">
        <v>389</v>
      </c>
      <c r="O80" t="s">
        <v>18</v>
      </c>
      <c r="P80" t="s">
        <v>49</v>
      </c>
      <c r="Q80" t="s">
        <v>390</v>
      </c>
      <c r="S80" t="s">
        <v>18</v>
      </c>
      <c r="T80" t="s">
        <v>18</v>
      </c>
    </row>
    <row r="81" spans="1:20">
      <c r="A81" t="str">
        <f t="shared" si="1"/>
        <v>NodeRed-16-000080</v>
      </c>
      <c r="B81" t="s">
        <v>18</v>
      </c>
      <c r="C81" s="3" t="s">
        <v>19</v>
      </c>
      <c r="D81" s="3" t="s">
        <v>20</v>
      </c>
      <c r="E81" s="3" t="s">
        <v>21</v>
      </c>
      <c r="F81" s="4" t="s">
        <v>22</v>
      </c>
      <c r="G81" s="3" t="s">
        <v>23</v>
      </c>
      <c r="H81" t="s">
        <v>391</v>
      </c>
      <c r="I81" t="s">
        <v>25</v>
      </c>
      <c r="J81" s="6">
        <v>46014</v>
      </c>
      <c r="K81" t="s">
        <v>392</v>
      </c>
      <c r="L81" t="s">
        <v>18</v>
      </c>
      <c r="M81" s="3" t="s">
        <v>27</v>
      </c>
      <c r="N81" t="s">
        <v>393</v>
      </c>
      <c r="O81" t="s">
        <v>18</v>
      </c>
      <c r="P81" t="s">
        <v>49</v>
      </c>
      <c r="Q81" t="s">
        <v>394</v>
      </c>
      <c r="S81" t="s">
        <v>18</v>
      </c>
      <c r="T81" t="s">
        <v>18</v>
      </c>
    </row>
    <row r="82" spans="1:20">
      <c r="A82" t="str">
        <f t="shared" si="1"/>
        <v>NodeRed-16-000081</v>
      </c>
      <c r="B82" t="s">
        <v>18</v>
      </c>
      <c r="C82" s="3" t="s">
        <v>19</v>
      </c>
      <c r="D82" s="3" t="s">
        <v>20</v>
      </c>
      <c r="E82" s="3" t="s">
        <v>21</v>
      </c>
      <c r="F82" s="4" t="s">
        <v>22</v>
      </c>
      <c r="G82" s="3" t="s">
        <v>23</v>
      </c>
      <c r="H82" t="s">
        <v>395</v>
      </c>
      <c r="I82" t="s">
        <v>25</v>
      </c>
      <c r="J82" s="6">
        <v>46014</v>
      </c>
      <c r="K82" t="s">
        <v>396</v>
      </c>
      <c r="L82" t="s">
        <v>18</v>
      </c>
      <c r="M82" s="3" t="s">
        <v>27</v>
      </c>
      <c r="N82" t="s">
        <v>397</v>
      </c>
      <c r="O82" t="s">
        <v>18</v>
      </c>
      <c r="P82" t="s">
        <v>49</v>
      </c>
      <c r="Q82" t="s">
        <v>398</v>
      </c>
      <c r="S82" t="s">
        <v>18</v>
      </c>
      <c r="T82" t="s">
        <v>18</v>
      </c>
    </row>
    <row r="83" spans="1:20">
      <c r="A83" t="str">
        <f t="shared" si="1"/>
        <v>NodeRed-16-000082</v>
      </c>
      <c r="B83" t="s">
        <v>18</v>
      </c>
      <c r="C83" s="3" t="s">
        <v>19</v>
      </c>
      <c r="D83" s="3" t="s">
        <v>20</v>
      </c>
      <c r="E83" s="3" t="s">
        <v>21</v>
      </c>
      <c r="F83" s="4" t="s">
        <v>22</v>
      </c>
      <c r="G83" s="3" t="s">
        <v>23</v>
      </c>
      <c r="H83" t="s">
        <v>399</v>
      </c>
      <c r="I83" t="s">
        <v>25</v>
      </c>
      <c r="J83" s="6">
        <v>46014</v>
      </c>
      <c r="K83" t="s">
        <v>400</v>
      </c>
      <c r="L83" t="s">
        <v>18</v>
      </c>
      <c r="M83" s="3" t="s">
        <v>27</v>
      </c>
      <c r="N83" t="s">
        <v>401</v>
      </c>
      <c r="O83" t="s">
        <v>18</v>
      </c>
      <c r="P83" t="s">
        <v>49</v>
      </c>
      <c r="Q83" t="s">
        <v>402</v>
      </c>
      <c r="S83" t="s">
        <v>18</v>
      </c>
      <c r="T83" t="s">
        <v>18</v>
      </c>
    </row>
    <row r="84" spans="1:20">
      <c r="A84" t="str">
        <f t="shared" si="1"/>
        <v>NodeRed-16-000083</v>
      </c>
      <c r="B84" t="s">
        <v>18</v>
      </c>
      <c r="C84" s="3" t="s">
        <v>19</v>
      </c>
      <c r="D84" s="3" t="s">
        <v>20</v>
      </c>
      <c r="E84" s="3" t="s">
        <v>21</v>
      </c>
      <c r="F84" s="4" t="s">
        <v>22</v>
      </c>
      <c r="G84" s="3" t="s">
        <v>23</v>
      </c>
      <c r="H84" t="s">
        <v>403</v>
      </c>
      <c r="I84" t="s">
        <v>25</v>
      </c>
      <c r="J84" s="6">
        <v>46014</v>
      </c>
      <c r="K84" t="s">
        <v>404</v>
      </c>
      <c r="L84" t="s">
        <v>18</v>
      </c>
      <c r="M84" s="3" t="s">
        <v>27</v>
      </c>
      <c r="N84" t="s">
        <v>405</v>
      </c>
      <c r="O84" t="s">
        <v>18</v>
      </c>
      <c r="P84" t="s">
        <v>29</v>
      </c>
      <c r="Q84" t="s">
        <v>406</v>
      </c>
      <c r="S84" t="s">
        <v>18</v>
      </c>
      <c r="T84" t="s">
        <v>18</v>
      </c>
    </row>
    <row r="85" spans="1:20">
      <c r="A85" t="str">
        <f t="shared" si="1"/>
        <v>NodeRed-16-000084</v>
      </c>
      <c r="B85" t="s">
        <v>18</v>
      </c>
      <c r="C85" s="3" t="s">
        <v>19</v>
      </c>
      <c r="D85" s="3" t="s">
        <v>20</v>
      </c>
      <c r="E85" s="3" t="s">
        <v>21</v>
      </c>
      <c r="F85" s="4" t="s">
        <v>22</v>
      </c>
      <c r="G85" s="3" t="s">
        <v>23</v>
      </c>
      <c r="H85" t="s">
        <v>407</v>
      </c>
      <c r="I85" t="s">
        <v>25</v>
      </c>
      <c r="J85" s="6">
        <v>46014</v>
      </c>
      <c r="K85" t="s">
        <v>408</v>
      </c>
      <c r="L85" t="s">
        <v>18</v>
      </c>
      <c r="M85" s="3" t="s">
        <v>27</v>
      </c>
      <c r="N85" t="s">
        <v>409</v>
      </c>
      <c r="O85" t="s">
        <v>18</v>
      </c>
      <c r="P85" t="s">
        <v>410</v>
      </c>
      <c r="Q85" t="s">
        <v>411</v>
      </c>
      <c r="S85" t="s">
        <v>18</v>
      </c>
      <c r="T85" t="s">
        <v>18</v>
      </c>
    </row>
    <row r="86" spans="1:20">
      <c r="A86" t="str">
        <f t="shared" si="1"/>
        <v>NodeRed-16-000085</v>
      </c>
      <c r="B86" t="s">
        <v>18</v>
      </c>
      <c r="C86" s="3" t="s">
        <v>19</v>
      </c>
      <c r="D86" s="3" t="s">
        <v>20</v>
      </c>
      <c r="E86" s="3" t="s">
        <v>21</v>
      </c>
      <c r="F86" s="4" t="s">
        <v>22</v>
      </c>
      <c r="G86" s="3" t="s">
        <v>23</v>
      </c>
      <c r="H86" t="s">
        <v>412</v>
      </c>
      <c r="I86" t="s">
        <v>25</v>
      </c>
      <c r="J86" s="6">
        <v>46014</v>
      </c>
      <c r="K86" t="s">
        <v>413</v>
      </c>
      <c r="L86" t="s">
        <v>18</v>
      </c>
      <c r="M86" s="3" t="s">
        <v>27</v>
      </c>
      <c r="N86" t="s">
        <v>414</v>
      </c>
      <c r="O86" t="s">
        <v>18</v>
      </c>
      <c r="P86" t="s">
        <v>151</v>
      </c>
      <c r="Q86" t="s">
        <v>415</v>
      </c>
      <c r="S86" t="s">
        <v>18</v>
      </c>
      <c r="T86" t="s">
        <v>18</v>
      </c>
    </row>
    <row r="87" spans="1:20">
      <c r="A87" t="str">
        <f t="shared" si="1"/>
        <v>NodeRed-16-000086</v>
      </c>
      <c r="B87" t="s">
        <v>18</v>
      </c>
      <c r="C87" s="3" t="s">
        <v>19</v>
      </c>
      <c r="D87" s="3" t="s">
        <v>20</v>
      </c>
      <c r="E87" s="3" t="s">
        <v>21</v>
      </c>
      <c r="F87" s="4" t="s">
        <v>22</v>
      </c>
      <c r="G87" s="3" t="s">
        <v>23</v>
      </c>
      <c r="H87" t="s">
        <v>416</v>
      </c>
      <c r="I87" t="s">
        <v>25</v>
      </c>
      <c r="J87" s="6">
        <v>46014</v>
      </c>
      <c r="K87" t="s">
        <v>417</v>
      </c>
      <c r="L87" t="s">
        <v>18</v>
      </c>
      <c r="M87" s="3" t="s">
        <v>27</v>
      </c>
      <c r="N87" t="s">
        <v>418</v>
      </c>
      <c r="O87" t="s">
        <v>18</v>
      </c>
      <c r="P87" t="s">
        <v>419</v>
      </c>
      <c r="Q87" t="s">
        <v>420</v>
      </c>
      <c r="S87" t="s">
        <v>18</v>
      </c>
      <c r="T87" t="s">
        <v>18</v>
      </c>
    </row>
    <row r="88" spans="1:20">
      <c r="A88" t="str">
        <f t="shared" si="1"/>
        <v>NodeRed-16-000087</v>
      </c>
      <c r="B88" t="s">
        <v>18</v>
      </c>
      <c r="C88" s="3" t="s">
        <v>19</v>
      </c>
      <c r="D88" s="3" t="s">
        <v>20</v>
      </c>
      <c r="E88" s="3" t="s">
        <v>21</v>
      </c>
      <c r="F88" s="4" t="s">
        <v>22</v>
      </c>
      <c r="G88" s="3" t="s">
        <v>23</v>
      </c>
      <c r="H88" t="s">
        <v>148</v>
      </c>
      <c r="I88" t="s">
        <v>25</v>
      </c>
      <c r="J88" s="6">
        <v>46014</v>
      </c>
      <c r="K88" t="s">
        <v>421</v>
      </c>
      <c r="L88" t="s">
        <v>18</v>
      </c>
      <c r="M88" s="3" t="s">
        <v>27</v>
      </c>
      <c r="N88" t="s">
        <v>422</v>
      </c>
      <c r="O88" t="s">
        <v>18</v>
      </c>
      <c r="P88" t="s">
        <v>151</v>
      </c>
      <c r="Q88" t="s">
        <v>423</v>
      </c>
      <c r="S88" t="s">
        <v>18</v>
      </c>
      <c r="T88" t="s">
        <v>18</v>
      </c>
    </row>
    <row r="89" spans="1:20">
      <c r="A89" t="str">
        <f t="shared" si="1"/>
        <v>NodeRed-16-000088</v>
      </c>
      <c r="B89" t="s">
        <v>18</v>
      </c>
      <c r="C89" s="3" t="s">
        <v>19</v>
      </c>
      <c r="D89" s="3" t="s">
        <v>20</v>
      </c>
      <c r="E89" s="3" t="s">
        <v>21</v>
      </c>
      <c r="F89" s="4" t="s">
        <v>22</v>
      </c>
      <c r="G89" s="3" t="s">
        <v>23</v>
      </c>
      <c r="H89" t="s">
        <v>424</v>
      </c>
      <c r="I89" t="s">
        <v>25</v>
      </c>
      <c r="J89" s="6">
        <v>46014</v>
      </c>
      <c r="K89" t="s">
        <v>425</v>
      </c>
      <c r="L89" t="s">
        <v>18</v>
      </c>
      <c r="M89" s="3" t="s">
        <v>27</v>
      </c>
      <c r="N89" t="s">
        <v>426</v>
      </c>
      <c r="O89" t="s">
        <v>18</v>
      </c>
      <c r="P89" t="s">
        <v>427</v>
      </c>
      <c r="Q89" t="s">
        <v>428</v>
      </c>
      <c r="S89" t="s">
        <v>18</v>
      </c>
      <c r="T89" t="s">
        <v>18</v>
      </c>
    </row>
    <row r="90" spans="1:20">
      <c r="A90" t="str">
        <f t="shared" si="1"/>
        <v>NodeRed-16-000089</v>
      </c>
      <c r="B90" t="s">
        <v>18</v>
      </c>
      <c r="C90" s="3" t="s">
        <v>19</v>
      </c>
      <c r="D90" s="3" t="s">
        <v>20</v>
      </c>
      <c r="E90" s="3" t="s">
        <v>21</v>
      </c>
      <c r="F90" s="4" t="s">
        <v>22</v>
      </c>
      <c r="G90" s="3" t="s">
        <v>23</v>
      </c>
      <c r="H90" t="s">
        <v>429</v>
      </c>
      <c r="I90" t="s">
        <v>25</v>
      </c>
      <c r="J90" s="6">
        <v>46014</v>
      </c>
      <c r="K90" t="s">
        <v>430</v>
      </c>
      <c r="L90" t="s">
        <v>18</v>
      </c>
      <c r="M90" s="3" t="s">
        <v>27</v>
      </c>
      <c r="N90" t="s">
        <v>431</v>
      </c>
      <c r="O90" t="s">
        <v>18</v>
      </c>
      <c r="P90" t="s">
        <v>432</v>
      </c>
      <c r="Q90" t="s">
        <v>433</v>
      </c>
      <c r="S90" t="s">
        <v>18</v>
      </c>
      <c r="T90" t="s">
        <v>18</v>
      </c>
    </row>
    <row r="91" spans="1:20">
      <c r="A91" t="str">
        <f t="shared" si="1"/>
        <v>NodeRed-16-000090</v>
      </c>
      <c r="B91" t="s">
        <v>18</v>
      </c>
      <c r="C91" s="3" t="s">
        <v>19</v>
      </c>
      <c r="D91" s="3" t="s">
        <v>20</v>
      </c>
      <c r="E91" s="3" t="s">
        <v>21</v>
      </c>
      <c r="F91" s="4" t="s">
        <v>22</v>
      </c>
      <c r="G91" s="3" t="s">
        <v>23</v>
      </c>
      <c r="H91" t="s">
        <v>434</v>
      </c>
      <c r="I91" t="s">
        <v>25</v>
      </c>
      <c r="J91" s="6">
        <v>46014</v>
      </c>
      <c r="K91" t="s">
        <v>435</v>
      </c>
      <c r="L91" t="s">
        <v>18</v>
      </c>
      <c r="M91" s="3" t="s">
        <v>27</v>
      </c>
      <c r="N91" t="s">
        <v>436</v>
      </c>
      <c r="O91" t="s">
        <v>18</v>
      </c>
      <c r="P91" t="s">
        <v>338</v>
      </c>
      <c r="Q91" t="s">
        <v>437</v>
      </c>
      <c r="S91" t="s">
        <v>18</v>
      </c>
      <c r="T91" t="s">
        <v>18</v>
      </c>
    </row>
    <row r="92" spans="1:20">
      <c r="A92" t="str">
        <f t="shared" si="1"/>
        <v>NodeRed-16-000091</v>
      </c>
      <c r="B92" t="s">
        <v>18</v>
      </c>
      <c r="C92" s="3" t="s">
        <v>19</v>
      </c>
      <c r="D92" s="3" t="s">
        <v>20</v>
      </c>
      <c r="E92" s="3" t="s">
        <v>21</v>
      </c>
      <c r="F92" s="4" t="s">
        <v>22</v>
      </c>
      <c r="G92" s="3" t="s">
        <v>23</v>
      </c>
      <c r="H92" t="s">
        <v>438</v>
      </c>
      <c r="I92" t="s">
        <v>25</v>
      </c>
      <c r="J92" s="6">
        <v>46014</v>
      </c>
      <c r="K92" t="s">
        <v>439</v>
      </c>
      <c r="L92" t="s">
        <v>18</v>
      </c>
      <c r="M92" s="3" t="s">
        <v>27</v>
      </c>
      <c r="N92" t="s">
        <v>440</v>
      </c>
      <c r="O92" t="s">
        <v>18</v>
      </c>
      <c r="P92" t="s">
        <v>441</v>
      </c>
      <c r="Q92" t="s">
        <v>442</v>
      </c>
      <c r="S92" t="s">
        <v>18</v>
      </c>
      <c r="T92" t="s">
        <v>18</v>
      </c>
    </row>
    <row r="93" spans="1:20">
      <c r="A93" t="str">
        <f t="shared" si="1"/>
        <v>NodeRed-16-000092</v>
      </c>
      <c r="B93" t="s">
        <v>18</v>
      </c>
      <c r="C93" s="3" t="s">
        <v>19</v>
      </c>
      <c r="D93" s="3" t="s">
        <v>20</v>
      </c>
      <c r="E93" s="3" t="s">
        <v>21</v>
      </c>
      <c r="F93" s="4" t="s">
        <v>22</v>
      </c>
      <c r="G93" s="3" t="s">
        <v>23</v>
      </c>
      <c r="H93" t="s">
        <v>443</v>
      </c>
      <c r="I93" t="s">
        <v>25</v>
      </c>
      <c r="J93" s="6">
        <v>46014</v>
      </c>
      <c r="K93" t="s">
        <v>444</v>
      </c>
      <c r="L93" t="s">
        <v>18</v>
      </c>
      <c r="M93" s="3" t="s">
        <v>27</v>
      </c>
      <c r="N93" t="s">
        <v>445</v>
      </c>
      <c r="O93" t="s">
        <v>18</v>
      </c>
      <c r="P93" t="s">
        <v>49</v>
      </c>
      <c r="Q93" t="s">
        <v>446</v>
      </c>
      <c r="S93" t="s">
        <v>18</v>
      </c>
      <c r="T93" t="s">
        <v>18</v>
      </c>
    </row>
    <row r="94" spans="1:20">
      <c r="A94" t="str">
        <f t="shared" si="1"/>
        <v>NodeRed-16-000093</v>
      </c>
      <c r="B94" t="s">
        <v>18</v>
      </c>
      <c r="C94" s="3" t="s">
        <v>19</v>
      </c>
      <c r="D94" s="3" t="s">
        <v>20</v>
      </c>
      <c r="E94" s="3" t="s">
        <v>21</v>
      </c>
      <c r="F94" s="4" t="s">
        <v>22</v>
      </c>
      <c r="G94" s="3" t="s">
        <v>23</v>
      </c>
      <c r="H94" t="s">
        <v>447</v>
      </c>
      <c r="I94" t="s">
        <v>25</v>
      </c>
      <c r="J94" s="6">
        <v>46014</v>
      </c>
      <c r="K94" t="s">
        <v>448</v>
      </c>
      <c r="L94" t="s">
        <v>18</v>
      </c>
      <c r="M94" s="3" t="s">
        <v>27</v>
      </c>
      <c r="N94" t="s">
        <v>449</v>
      </c>
      <c r="O94" t="s">
        <v>18</v>
      </c>
      <c r="P94" t="s">
        <v>69</v>
      </c>
      <c r="Q94" t="s">
        <v>450</v>
      </c>
      <c r="S94" t="s">
        <v>18</v>
      </c>
      <c r="T94" t="s">
        <v>18</v>
      </c>
    </row>
    <row r="95" spans="1:20">
      <c r="A95" t="str">
        <f t="shared" si="1"/>
        <v>NodeRed-16-000094</v>
      </c>
      <c r="B95" t="s">
        <v>18</v>
      </c>
      <c r="C95" s="3" t="s">
        <v>19</v>
      </c>
      <c r="D95" s="3" t="s">
        <v>20</v>
      </c>
      <c r="E95" s="3" t="s">
        <v>21</v>
      </c>
      <c r="F95" s="4" t="s">
        <v>22</v>
      </c>
      <c r="G95" s="3" t="s">
        <v>23</v>
      </c>
      <c r="H95" t="s">
        <v>451</v>
      </c>
      <c r="I95" t="s">
        <v>25</v>
      </c>
      <c r="J95" s="6">
        <v>46014</v>
      </c>
      <c r="K95" t="s">
        <v>452</v>
      </c>
      <c r="L95" t="s">
        <v>18</v>
      </c>
      <c r="M95" s="3" t="s">
        <v>27</v>
      </c>
      <c r="N95" t="s">
        <v>453</v>
      </c>
      <c r="O95" t="s">
        <v>18</v>
      </c>
      <c r="P95" t="s">
        <v>454</v>
      </c>
      <c r="Q95" t="s">
        <v>455</v>
      </c>
      <c r="S95" t="s">
        <v>18</v>
      </c>
      <c r="T95" t="s">
        <v>18</v>
      </c>
    </row>
    <row r="96" spans="1:20">
      <c r="A96" t="str">
        <f t="shared" si="1"/>
        <v>NodeRed-16-000095</v>
      </c>
      <c r="B96" t="s">
        <v>18</v>
      </c>
      <c r="C96" s="3" t="s">
        <v>19</v>
      </c>
      <c r="D96" s="3" t="s">
        <v>20</v>
      </c>
      <c r="E96" s="3" t="s">
        <v>21</v>
      </c>
      <c r="F96" s="4" t="s">
        <v>22</v>
      </c>
      <c r="G96" s="3" t="s">
        <v>23</v>
      </c>
      <c r="H96" t="s">
        <v>456</v>
      </c>
      <c r="I96" t="s">
        <v>25</v>
      </c>
      <c r="J96" s="6">
        <v>46014</v>
      </c>
      <c r="K96" t="s">
        <v>457</v>
      </c>
      <c r="L96" t="s">
        <v>18</v>
      </c>
      <c r="M96" s="3" t="s">
        <v>27</v>
      </c>
      <c r="N96" t="s">
        <v>458</v>
      </c>
      <c r="O96" t="s">
        <v>18</v>
      </c>
      <c r="P96" t="s">
        <v>459</v>
      </c>
      <c r="Q96" t="s">
        <v>460</v>
      </c>
      <c r="S96" t="s">
        <v>18</v>
      </c>
      <c r="T96" t="s">
        <v>18</v>
      </c>
    </row>
    <row r="97" spans="1:20">
      <c r="A97" t="str">
        <f t="shared" si="1"/>
        <v>NodeRed-16-000096</v>
      </c>
      <c r="B97" t="s">
        <v>18</v>
      </c>
      <c r="C97" s="3" t="s">
        <v>19</v>
      </c>
      <c r="D97" s="3" t="s">
        <v>20</v>
      </c>
      <c r="E97" s="3" t="s">
        <v>21</v>
      </c>
      <c r="F97" s="4" t="s">
        <v>22</v>
      </c>
      <c r="G97" s="3" t="s">
        <v>23</v>
      </c>
      <c r="H97" t="s">
        <v>461</v>
      </c>
      <c r="I97" t="s">
        <v>25</v>
      </c>
      <c r="J97" s="6">
        <v>46014</v>
      </c>
      <c r="K97" t="s">
        <v>462</v>
      </c>
      <c r="L97" t="s">
        <v>18</v>
      </c>
      <c r="M97" s="3" t="s">
        <v>27</v>
      </c>
      <c r="N97" t="s">
        <v>463</v>
      </c>
      <c r="O97" t="s">
        <v>18</v>
      </c>
      <c r="P97" t="s">
        <v>464</v>
      </c>
      <c r="Q97" t="s">
        <v>465</v>
      </c>
      <c r="S97" t="s">
        <v>18</v>
      </c>
      <c r="T97" t="s">
        <v>18</v>
      </c>
    </row>
    <row r="98" spans="1:20">
      <c r="A98" t="str">
        <f t="shared" si="1"/>
        <v>NodeRed-16-000097</v>
      </c>
      <c r="B98" t="s">
        <v>18</v>
      </c>
      <c r="C98" s="3" t="s">
        <v>19</v>
      </c>
      <c r="D98" s="3" t="s">
        <v>20</v>
      </c>
      <c r="E98" s="3" t="s">
        <v>21</v>
      </c>
      <c r="F98" s="4" t="s">
        <v>22</v>
      </c>
      <c r="G98" s="3" t="s">
        <v>23</v>
      </c>
      <c r="H98" t="s">
        <v>466</v>
      </c>
      <c r="I98" t="s">
        <v>25</v>
      </c>
      <c r="J98" s="6">
        <v>46014</v>
      </c>
      <c r="K98" t="s">
        <v>467</v>
      </c>
      <c r="L98" t="s">
        <v>18</v>
      </c>
      <c r="M98" s="3" t="s">
        <v>27</v>
      </c>
      <c r="N98" t="s">
        <v>468</v>
      </c>
      <c r="O98" t="s">
        <v>18</v>
      </c>
      <c r="P98" t="s">
        <v>469</v>
      </c>
      <c r="Q98" t="s">
        <v>470</v>
      </c>
      <c r="S98" t="s">
        <v>18</v>
      </c>
      <c r="T98" t="s">
        <v>18</v>
      </c>
    </row>
    <row r="99" spans="1:20">
      <c r="A99" t="str">
        <f t="shared" si="1"/>
        <v>NodeRed-16-000098</v>
      </c>
      <c r="B99" t="s">
        <v>18</v>
      </c>
      <c r="C99" s="3" t="s">
        <v>19</v>
      </c>
      <c r="D99" s="3" t="s">
        <v>20</v>
      </c>
      <c r="E99" s="3" t="s">
        <v>21</v>
      </c>
      <c r="F99" s="4" t="s">
        <v>22</v>
      </c>
      <c r="G99" s="3" t="s">
        <v>23</v>
      </c>
      <c r="H99" t="s">
        <v>471</v>
      </c>
      <c r="I99" t="s">
        <v>25</v>
      </c>
      <c r="J99" s="6">
        <v>46014</v>
      </c>
      <c r="K99" t="s">
        <v>472</v>
      </c>
      <c r="L99" t="s">
        <v>18</v>
      </c>
      <c r="M99" s="3" t="s">
        <v>27</v>
      </c>
      <c r="N99" t="s">
        <v>473</v>
      </c>
      <c r="O99" t="s">
        <v>18</v>
      </c>
      <c r="P99" t="s">
        <v>474</v>
      </c>
      <c r="Q99" t="s">
        <v>475</v>
      </c>
      <c r="S99" t="s">
        <v>18</v>
      </c>
      <c r="T99" t="s">
        <v>18</v>
      </c>
    </row>
    <row r="100" spans="1:20">
      <c r="A100" t="str">
        <f t="shared" si="1"/>
        <v>NodeRed-16-000099</v>
      </c>
      <c r="B100" t="s">
        <v>18</v>
      </c>
      <c r="C100" s="3" t="s">
        <v>19</v>
      </c>
      <c r="D100" s="3" t="s">
        <v>20</v>
      </c>
      <c r="E100" s="3" t="s">
        <v>21</v>
      </c>
      <c r="F100" s="4" t="s">
        <v>22</v>
      </c>
      <c r="G100" s="3" t="s">
        <v>23</v>
      </c>
      <c r="H100" t="s">
        <v>476</v>
      </c>
      <c r="I100" t="s">
        <v>25</v>
      </c>
      <c r="J100" s="6">
        <v>46014</v>
      </c>
      <c r="K100" t="s">
        <v>477</v>
      </c>
      <c r="L100" t="s">
        <v>18</v>
      </c>
      <c r="M100" s="3" t="s">
        <v>27</v>
      </c>
      <c r="N100" t="s">
        <v>478</v>
      </c>
      <c r="O100" t="s">
        <v>18</v>
      </c>
      <c r="P100" t="s">
        <v>479</v>
      </c>
      <c r="Q100" t="s">
        <v>480</v>
      </c>
      <c r="S100" t="s">
        <v>18</v>
      </c>
      <c r="T100" t="s">
        <v>18</v>
      </c>
    </row>
    <row r="101" spans="1:20">
      <c r="A101" t="str">
        <f t="shared" si="1"/>
        <v>NodeRed-16-000100</v>
      </c>
      <c r="B101" t="s">
        <v>18</v>
      </c>
      <c r="C101" s="3" t="s">
        <v>19</v>
      </c>
      <c r="D101" s="3" t="s">
        <v>20</v>
      </c>
      <c r="E101" s="3" t="s">
        <v>21</v>
      </c>
      <c r="F101" s="4" t="s">
        <v>22</v>
      </c>
      <c r="G101" s="3" t="s">
        <v>23</v>
      </c>
      <c r="H101" t="s">
        <v>481</v>
      </c>
      <c r="I101" t="s">
        <v>25</v>
      </c>
      <c r="J101" s="6">
        <v>46014</v>
      </c>
      <c r="K101" t="s">
        <v>482</v>
      </c>
      <c r="L101" t="s">
        <v>18</v>
      </c>
      <c r="M101" s="3" t="s">
        <v>27</v>
      </c>
      <c r="N101" t="s">
        <v>483</v>
      </c>
      <c r="O101" t="s">
        <v>18</v>
      </c>
      <c r="P101" t="s">
        <v>117</v>
      </c>
      <c r="Q101" t="s">
        <v>484</v>
      </c>
      <c r="S101" t="s">
        <v>18</v>
      </c>
      <c r="T101" t="s">
        <v>18</v>
      </c>
    </row>
    <row r="102" spans="1:20">
      <c r="A102" t="str">
        <f t="shared" si="1"/>
        <v>NodeRed-16-000101</v>
      </c>
      <c r="B102" t="s">
        <v>18</v>
      </c>
      <c r="C102" s="3" t="s">
        <v>19</v>
      </c>
      <c r="D102" s="3" t="s">
        <v>20</v>
      </c>
      <c r="E102" s="3" t="s">
        <v>21</v>
      </c>
      <c r="F102" s="4" t="s">
        <v>22</v>
      </c>
      <c r="G102" s="3" t="s">
        <v>23</v>
      </c>
      <c r="H102" t="s">
        <v>485</v>
      </c>
      <c r="I102" t="s">
        <v>25</v>
      </c>
      <c r="J102" s="6">
        <v>46014</v>
      </c>
      <c r="K102" t="s">
        <v>486</v>
      </c>
      <c r="L102" t="s">
        <v>18</v>
      </c>
      <c r="M102" s="3" t="s">
        <v>27</v>
      </c>
      <c r="N102" t="s">
        <v>487</v>
      </c>
      <c r="O102" t="s">
        <v>18</v>
      </c>
      <c r="P102" t="s">
        <v>488</v>
      </c>
      <c r="Q102" t="s">
        <v>489</v>
      </c>
      <c r="S102" t="s">
        <v>18</v>
      </c>
      <c r="T102" t="s">
        <v>18</v>
      </c>
    </row>
    <row r="103" spans="1:20">
      <c r="A103" t="str">
        <f t="shared" si="1"/>
        <v>NodeRed-16-000102</v>
      </c>
      <c r="B103" t="s">
        <v>18</v>
      </c>
      <c r="C103" s="3" t="s">
        <v>19</v>
      </c>
      <c r="D103" s="3" t="s">
        <v>20</v>
      </c>
      <c r="E103" s="3" t="s">
        <v>21</v>
      </c>
      <c r="F103" s="4" t="s">
        <v>22</v>
      </c>
      <c r="G103" s="3" t="s">
        <v>23</v>
      </c>
      <c r="H103" t="s">
        <v>490</v>
      </c>
      <c r="I103" t="s">
        <v>25</v>
      </c>
      <c r="J103" s="6">
        <v>46014</v>
      </c>
      <c r="K103" t="s">
        <v>491</v>
      </c>
      <c r="L103" t="s">
        <v>18</v>
      </c>
      <c r="M103" s="3" t="s">
        <v>27</v>
      </c>
      <c r="N103" t="s">
        <v>492</v>
      </c>
      <c r="O103" t="s">
        <v>18</v>
      </c>
      <c r="P103" t="s">
        <v>493</v>
      </c>
      <c r="Q103" t="s">
        <v>494</v>
      </c>
      <c r="S103" t="s">
        <v>18</v>
      </c>
      <c r="T103" t="s">
        <v>18</v>
      </c>
    </row>
    <row r="104" spans="1:20">
      <c r="A104" t="str">
        <f t="shared" si="1"/>
        <v>NodeRed-16-000103</v>
      </c>
      <c r="B104" t="s">
        <v>18</v>
      </c>
      <c r="C104" s="3" t="s">
        <v>19</v>
      </c>
      <c r="D104" s="3" t="s">
        <v>20</v>
      </c>
      <c r="E104" s="3" t="s">
        <v>21</v>
      </c>
      <c r="F104" s="4" t="s">
        <v>22</v>
      </c>
      <c r="G104" s="3" t="s">
        <v>23</v>
      </c>
      <c r="H104" t="s">
        <v>133</v>
      </c>
      <c r="I104" t="s">
        <v>25</v>
      </c>
      <c r="J104" s="6">
        <v>46014</v>
      </c>
      <c r="K104" t="s">
        <v>495</v>
      </c>
      <c r="L104" t="s">
        <v>18</v>
      </c>
      <c r="M104" s="3" t="s">
        <v>27</v>
      </c>
      <c r="N104" t="s">
        <v>496</v>
      </c>
      <c r="O104" t="s">
        <v>18</v>
      </c>
      <c r="P104" t="s">
        <v>497</v>
      </c>
      <c r="Q104" t="s">
        <v>498</v>
      </c>
      <c r="S104" t="s">
        <v>18</v>
      </c>
      <c r="T104" t="s">
        <v>18</v>
      </c>
    </row>
    <row r="105" spans="1:20">
      <c r="A105" t="str">
        <f t="shared" si="1"/>
        <v>NodeRed-16-000104</v>
      </c>
      <c r="B105" t="s">
        <v>18</v>
      </c>
      <c r="C105" s="3" t="s">
        <v>19</v>
      </c>
      <c r="D105" s="3" t="s">
        <v>20</v>
      </c>
      <c r="E105" s="3" t="s">
        <v>21</v>
      </c>
      <c r="F105" s="4" t="s">
        <v>22</v>
      </c>
      <c r="G105" s="3" t="s">
        <v>23</v>
      </c>
      <c r="H105" t="s">
        <v>499</v>
      </c>
      <c r="I105" t="s">
        <v>25</v>
      </c>
      <c r="J105" s="6">
        <v>46014</v>
      </c>
      <c r="K105" t="s">
        <v>500</v>
      </c>
      <c r="L105" t="s">
        <v>18</v>
      </c>
      <c r="M105" s="3" t="s">
        <v>27</v>
      </c>
      <c r="N105" t="s">
        <v>501</v>
      </c>
      <c r="O105" t="s">
        <v>18</v>
      </c>
      <c r="P105" t="s">
        <v>502</v>
      </c>
      <c r="Q105" t="s">
        <v>503</v>
      </c>
      <c r="S105" t="s">
        <v>18</v>
      </c>
      <c r="T105" t="s">
        <v>18</v>
      </c>
    </row>
    <row r="106" spans="1:20">
      <c r="A106" t="str">
        <f t="shared" si="1"/>
        <v>NodeRed-16-000105</v>
      </c>
      <c r="B106" t="s">
        <v>18</v>
      </c>
      <c r="C106" s="3" t="s">
        <v>19</v>
      </c>
      <c r="D106" s="3" t="s">
        <v>20</v>
      </c>
      <c r="E106" s="3" t="s">
        <v>21</v>
      </c>
      <c r="F106" s="4" t="s">
        <v>22</v>
      </c>
      <c r="G106" s="3" t="s">
        <v>23</v>
      </c>
      <c r="H106" t="s">
        <v>504</v>
      </c>
      <c r="I106" t="s">
        <v>25</v>
      </c>
      <c r="J106" s="6">
        <v>46014</v>
      </c>
      <c r="K106" t="s">
        <v>505</v>
      </c>
      <c r="L106" t="s">
        <v>18</v>
      </c>
      <c r="M106" s="3" t="s">
        <v>27</v>
      </c>
      <c r="N106" t="s">
        <v>506</v>
      </c>
      <c r="O106" t="s">
        <v>18</v>
      </c>
      <c r="P106" t="s">
        <v>507</v>
      </c>
      <c r="Q106" t="s">
        <v>508</v>
      </c>
      <c r="S106" t="s">
        <v>18</v>
      </c>
      <c r="T106" t="s">
        <v>18</v>
      </c>
    </row>
    <row r="107" spans="1:20">
      <c r="A107" t="str">
        <f t="shared" si="1"/>
        <v>NodeRed-16-000106</v>
      </c>
      <c r="B107" t="s">
        <v>18</v>
      </c>
      <c r="C107" s="3" t="s">
        <v>19</v>
      </c>
      <c r="D107" s="3" t="s">
        <v>20</v>
      </c>
      <c r="E107" s="3" t="s">
        <v>21</v>
      </c>
      <c r="F107" s="4" t="s">
        <v>22</v>
      </c>
      <c r="G107" s="3" t="s">
        <v>23</v>
      </c>
      <c r="H107" t="s">
        <v>509</v>
      </c>
      <c r="I107" t="s">
        <v>25</v>
      </c>
      <c r="J107" s="6">
        <v>46014</v>
      </c>
      <c r="K107" t="s">
        <v>510</v>
      </c>
      <c r="L107" t="s">
        <v>18</v>
      </c>
      <c r="M107" s="3" t="s">
        <v>27</v>
      </c>
      <c r="N107" t="s">
        <v>511</v>
      </c>
      <c r="O107" t="s">
        <v>18</v>
      </c>
      <c r="P107" t="s">
        <v>49</v>
      </c>
      <c r="Q107" t="s">
        <v>512</v>
      </c>
      <c r="S107" t="s">
        <v>18</v>
      </c>
      <c r="T107" t="s">
        <v>18</v>
      </c>
    </row>
    <row r="108" spans="1:20">
      <c r="A108" t="str">
        <f t="shared" si="1"/>
        <v>NodeRed-16-000107</v>
      </c>
      <c r="B108" t="s">
        <v>18</v>
      </c>
      <c r="C108" s="3" t="s">
        <v>19</v>
      </c>
      <c r="D108" s="3" t="s">
        <v>20</v>
      </c>
      <c r="E108" s="3" t="s">
        <v>21</v>
      </c>
      <c r="F108" s="4" t="s">
        <v>22</v>
      </c>
      <c r="G108" s="3" t="s">
        <v>23</v>
      </c>
      <c r="H108" t="s">
        <v>513</v>
      </c>
      <c r="I108" t="s">
        <v>25</v>
      </c>
      <c r="J108" s="6">
        <v>46014</v>
      </c>
      <c r="K108" t="s">
        <v>514</v>
      </c>
      <c r="L108" t="s">
        <v>18</v>
      </c>
      <c r="M108" s="3" t="s">
        <v>27</v>
      </c>
      <c r="N108" t="s">
        <v>515</v>
      </c>
      <c r="O108" t="s">
        <v>18</v>
      </c>
      <c r="P108" t="s">
        <v>229</v>
      </c>
      <c r="Q108" t="s">
        <v>516</v>
      </c>
      <c r="S108" t="s">
        <v>18</v>
      </c>
      <c r="T108" t="s">
        <v>18</v>
      </c>
    </row>
    <row r="109" spans="1:20">
      <c r="A109" t="str">
        <f t="shared" si="1"/>
        <v>NodeRed-16-000108</v>
      </c>
      <c r="B109" t="s">
        <v>18</v>
      </c>
      <c r="C109" s="3" t="s">
        <v>19</v>
      </c>
      <c r="D109" s="3" t="s">
        <v>20</v>
      </c>
      <c r="E109" s="3" t="s">
        <v>21</v>
      </c>
      <c r="F109" s="4" t="s">
        <v>22</v>
      </c>
      <c r="G109" s="3" t="s">
        <v>23</v>
      </c>
      <c r="H109" t="s">
        <v>517</v>
      </c>
      <c r="I109" t="s">
        <v>25</v>
      </c>
      <c r="J109" s="6">
        <v>46014</v>
      </c>
      <c r="K109" t="s">
        <v>518</v>
      </c>
      <c r="L109" t="s">
        <v>18</v>
      </c>
      <c r="M109" s="3" t="s">
        <v>27</v>
      </c>
      <c r="N109" t="s">
        <v>519</v>
      </c>
      <c r="O109" t="s">
        <v>18</v>
      </c>
      <c r="P109" t="s">
        <v>520</v>
      </c>
      <c r="Q109" t="s">
        <v>521</v>
      </c>
      <c r="S109" t="s">
        <v>18</v>
      </c>
      <c r="T109" t="s">
        <v>18</v>
      </c>
    </row>
    <row r="110" spans="1:20">
      <c r="A110" t="str">
        <f t="shared" si="1"/>
        <v>NodeRed-16-000109</v>
      </c>
      <c r="B110" t="s">
        <v>18</v>
      </c>
      <c r="C110" s="3" t="s">
        <v>19</v>
      </c>
      <c r="D110" s="3" t="s">
        <v>20</v>
      </c>
      <c r="E110" s="3" t="s">
        <v>21</v>
      </c>
      <c r="F110" s="4" t="s">
        <v>22</v>
      </c>
      <c r="G110" s="3" t="s">
        <v>23</v>
      </c>
      <c r="H110" t="s">
        <v>522</v>
      </c>
      <c r="I110" t="s">
        <v>25</v>
      </c>
      <c r="J110" s="6">
        <v>46014</v>
      </c>
      <c r="K110" t="s">
        <v>523</v>
      </c>
      <c r="L110" t="s">
        <v>18</v>
      </c>
      <c r="M110" s="3" t="s">
        <v>27</v>
      </c>
      <c r="N110" t="s">
        <v>524</v>
      </c>
      <c r="O110" t="s">
        <v>18</v>
      </c>
      <c r="P110" t="s">
        <v>525</v>
      </c>
      <c r="Q110" t="s">
        <v>526</v>
      </c>
      <c r="S110" t="s">
        <v>18</v>
      </c>
      <c r="T110" t="s">
        <v>18</v>
      </c>
    </row>
    <row r="111" spans="1:20">
      <c r="A111" t="str">
        <f t="shared" si="1"/>
        <v>NodeRed-16-000110</v>
      </c>
      <c r="B111" t="s">
        <v>18</v>
      </c>
      <c r="C111" s="3" t="s">
        <v>19</v>
      </c>
      <c r="D111" s="3" t="s">
        <v>20</v>
      </c>
      <c r="E111" s="3" t="s">
        <v>21</v>
      </c>
      <c r="F111" s="4" t="s">
        <v>22</v>
      </c>
      <c r="G111" s="3" t="s">
        <v>23</v>
      </c>
      <c r="H111" t="s">
        <v>527</v>
      </c>
      <c r="I111" t="s">
        <v>25</v>
      </c>
      <c r="J111" s="6">
        <v>46014</v>
      </c>
      <c r="K111" t="s">
        <v>528</v>
      </c>
      <c r="L111" t="s">
        <v>18</v>
      </c>
      <c r="M111" s="3" t="s">
        <v>27</v>
      </c>
      <c r="N111" t="s">
        <v>529</v>
      </c>
      <c r="O111" t="s">
        <v>18</v>
      </c>
      <c r="P111" t="s">
        <v>530</v>
      </c>
      <c r="Q111" t="s">
        <v>531</v>
      </c>
      <c r="S111" t="s">
        <v>18</v>
      </c>
      <c r="T111" t="s">
        <v>18</v>
      </c>
    </row>
    <row r="112" spans="1:20">
      <c r="A112" t="str">
        <f t="shared" si="1"/>
        <v>NodeRed-16-000111</v>
      </c>
      <c r="B112" t="s">
        <v>18</v>
      </c>
      <c r="C112" s="3" t="s">
        <v>19</v>
      </c>
      <c r="D112" s="3" t="s">
        <v>20</v>
      </c>
      <c r="E112" s="3" t="s">
        <v>21</v>
      </c>
      <c r="F112" s="4" t="s">
        <v>22</v>
      </c>
      <c r="G112" s="3" t="s">
        <v>23</v>
      </c>
      <c r="H112" t="s">
        <v>532</v>
      </c>
      <c r="I112" t="s">
        <v>25</v>
      </c>
      <c r="J112" s="6">
        <v>46014</v>
      </c>
      <c r="K112" t="s">
        <v>533</v>
      </c>
      <c r="L112" t="s">
        <v>18</v>
      </c>
      <c r="M112" s="3" t="s">
        <v>27</v>
      </c>
      <c r="N112" t="s">
        <v>534</v>
      </c>
      <c r="O112" t="s">
        <v>18</v>
      </c>
      <c r="P112" t="s">
        <v>535</v>
      </c>
      <c r="Q112" t="s">
        <v>536</v>
      </c>
      <c r="S112" t="s">
        <v>18</v>
      </c>
      <c r="T112" t="s">
        <v>18</v>
      </c>
    </row>
    <row r="113" spans="1:20">
      <c r="A113" t="str">
        <f t="shared" si="1"/>
        <v>NodeRed-16-000112</v>
      </c>
      <c r="B113" t="s">
        <v>18</v>
      </c>
      <c r="C113" s="3" t="s">
        <v>19</v>
      </c>
      <c r="D113" s="3" t="s">
        <v>20</v>
      </c>
      <c r="E113" s="3" t="s">
        <v>21</v>
      </c>
      <c r="F113" s="4" t="s">
        <v>22</v>
      </c>
      <c r="G113" s="3" t="s">
        <v>23</v>
      </c>
      <c r="H113" t="s">
        <v>476</v>
      </c>
      <c r="I113" t="s">
        <v>25</v>
      </c>
      <c r="J113" s="6">
        <v>46014</v>
      </c>
      <c r="K113" t="s">
        <v>537</v>
      </c>
      <c r="L113" t="s">
        <v>18</v>
      </c>
      <c r="M113" s="3" t="s">
        <v>27</v>
      </c>
      <c r="N113" t="s">
        <v>538</v>
      </c>
      <c r="O113" t="s">
        <v>18</v>
      </c>
      <c r="P113" t="s">
        <v>539</v>
      </c>
      <c r="Q113" t="s">
        <v>540</v>
      </c>
      <c r="S113" t="s">
        <v>18</v>
      </c>
      <c r="T113" t="s">
        <v>18</v>
      </c>
    </row>
    <row r="114" spans="1:20">
      <c r="A114" t="str">
        <f t="shared" si="1"/>
        <v>NodeRed-16-000113</v>
      </c>
      <c r="B114" t="s">
        <v>18</v>
      </c>
      <c r="C114" s="3" t="s">
        <v>19</v>
      </c>
      <c r="D114" s="3" t="s">
        <v>20</v>
      </c>
      <c r="E114" s="3" t="s">
        <v>21</v>
      </c>
      <c r="F114" s="4" t="s">
        <v>22</v>
      </c>
      <c r="G114" s="3" t="s">
        <v>23</v>
      </c>
      <c r="H114" t="s">
        <v>541</v>
      </c>
      <c r="I114" t="s">
        <v>25</v>
      </c>
      <c r="J114" s="6">
        <v>46014</v>
      </c>
      <c r="K114" t="s">
        <v>542</v>
      </c>
      <c r="L114" t="s">
        <v>18</v>
      </c>
      <c r="M114" s="3" t="s">
        <v>27</v>
      </c>
      <c r="N114" t="s">
        <v>543</v>
      </c>
      <c r="O114" t="s">
        <v>18</v>
      </c>
      <c r="P114" t="s">
        <v>544</v>
      </c>
      <c r="Q114" t="s">
        <v>545</v>
      </c>
      <c r="S114" t="s">
        <v>18</v>
      </c>
      <c r="T114" t="s">
        <v>18</v>
      </c>
    </row>
    <row r="115" spans="1:20">
      <c r="A115" t="str">
        <f t="shared" si="1"/>
        <v>NodeRed-16-000114</v>
      </c>
      <c r="B115" t="s">
        <v>18</v>
      </c>
      <c r="C115" s="3" t="s">
        <v>19</v>
      </c>
      <c r="D115" s="3" t="s">
        <v>20</v>
      </c>
      <c r="E115" s="3" t="s">
        <v>21</v>
      </c>
      <c r="F115" s="4" t="s">
        <v>22</v>
      </c>
      <c r="G115" s="3" t="s">
        <v>23</v>
      </c>
      <c r="H115" t="s">
        <v>546</v>
      </c>
      <c r="I115" t="s">
        <v>25</v>
      </c>
      <c r="J115" s="6">
        <v>46014</v>
      </c>
      <c r="K115" t="s">
        <v>547</v>
      </c>
      <c r="L115" t="s">
        <v>18</v>
      </c>
      <c r="M115" s="3" t="s">
        <v>27</v>
      </c>
      <c r="N115" t="s">
        <v>548</v>
      </c>
      <c r="O115" t="s">
        <v>18</v>
      </c>
      <c r="P115" t="s">
        <v>69</v>
      </c>
      <c r="Q115" t="s">
        <v>549</v>
      </c>
      <c r="S115" t="s">
        <v>18</v>
      </c>
      <c r="T115" t="s">
        <v>18</v>
      </c>
    </row>
    <row r="116" spans="1:20">
      <c r="A116" t="str">
        <f t="shared" si="1"/>
        <v>NodeRed-16-000115</v>
      </c>
      <c r="B116" t="s">
        <v>18</v>
      </c>
      <c r="C116" s="3" t="s">
        <v>19</v>
      </c>
      <c r="D116" s="3" t="s">
        <v>20</v>
      </c>
      <c r="E116" s="3" t="s">
        <v>21</v>
      </c>
      <c r="F116" s="4" t="s">
        <v>22</v>
      </c>
      <c r="G116" s="3" t="s">
        <v>23</v>
      </c>
      <c r="H116" t="s">
        <v>550</v>
      </c>
      <c r="I116" t="s">
        <v>25</v>
      </c>
      <c r="J116" s="6">
        <v>46014</v>
      </c>
      <c r="K116" t="s">
        <v>551</v>
      </c>
      <c r="L116" t="s">
        <v>18</v>
      </c>
      <c r="M116" s="3" t="s">
        <v>27</v>
      </c>
      <c r="N116" t="s">
        <v>552</v>
      </c>
      <c r="O116" t="s">
        <v>18</v>
      </c>
      <c r="P116" t="s">
        <v>229</v>
      </c>
      <c r="Q116" t="s">
        <v>553</v>
      </c>
      <c r="S116" t="s">
        <v>18</v>
      </c>
      <c r="T116" t="s">
        <v>18</v>
      </c>
    </row>
    <row r="117" spans="1:20">
      <c r="A117" t="str">
        <f t="shared" si="1"/>
        <v>NodeRed-16-000116</v>
      </c>
      <c r="B117" t="s">
        <v>18</v>
      </c>
      <c r="C117" s="3" t="s">
        <v>19</v>
      </c>
      <c r="D117" s="3" t="s">
        <v>20</v>
      </c>
      <c r="E117" s="3" t="s">
        <v>21</v>
      </c>
      <c r="F117" s="4" t="s">
        <v>22</v>
      </c>
      <c r="G117" s="3" t="s">
        <v>23</v>
      </c>
      <c r="H117" t="s">
        <v>554</v>
      </c>
      <c r="I117" t="s">
        <v>25</v>
      </c>
      <c r="J117" s="6">
        <v>46014</v>
      </c>
      <c r="K117" t="s">
        <v>555</v>
      </c>
      <c r="L117" t="s">
        <v>18</v>
      </c>
      <c r="M117" s="3" t="s">
        <v>27</v>
      </c>
      <c r="N117" t="s">
        <v>556</v>
      </c>
      <c r="O117" t="s">
        <v>18</v>
      </c>
      <c r="P117" t="s">
        <v>229</v>
      </c>
      <c r="Q117" t="s">
        <v>557</v>
      </c>
      <c r="S117" t="s">
        <v>18</v>
      </c>
      <c r="T117" t="s">
        <v>18</v>
      </c>
    </row>
    <row r="118" spans="1:20">
      <c r="A118" t="str">
        <f t="shared" si="1"/>
        <v>NodeRed-16-000117</v>
      </c>
      <c r="B118" t="s">
        <v>18</v>
      </c>
      <c r="C118" s="3" t="s">
        <v>19</v>
      </c>
      <c r="D118" s="3" t="s">
        <v>20</v>
      </c>
      <c r="E118" s="3" t="s">
        <v>21</v>
      </c>
      <c r="F118" s="4" t="s">
        <v>22</v>
      </c>
      <c r="G118" s="3" t="s">
        <v>23</v>
      </c>
      <c r="H118" t="s">
        <v>558</v>
      </c>
      <c r="I118" t="s">
        <v>25</v>
      </c>
      <c r="J118" s="6">
        <v>46014</v>
      </c>
      <c r="K118" t="s">
        <v>559</v>
      </c>
      <c r="L118" t="s">
        <v>18</v>
      </c>
      <c r="M118" s="3" t="s">
        <v>27</v>
      </c>
      <c r="N118" t="s">
        <v>560</v>
      </c>
      <c r="O118" t="s">
        <v>18</v>
      </c>
      <c r="P118" t="s">
        <v>561</v>
      </c>
      <c r="Q118" t="s">
        <v>562</v>
      </c>
      <c r="S118" t="s">
        <v>18</v>
      </c>
      <c r="T118" t="s">
        <v>18</v>
      </c>
    </row>
    <row r="119" spans="1:20">
      <c r="A119" t="str">
        <f t="shared" si="1"/>
        <v>NodeRed-16-000118</v>
      </c>
      <c r="B119" t="s">
        <v>18</v>
      </c>
      <c r="C119" s="3" t="s">
        <v>19</v>
      </c>
      <c r="D119" s="3" t="s">
        <v>20</v>
      </c>
      <c r="E119" s="3" t="s">
        <v>21</v>
      </c>
      <c r="F119" s="4" t="s">
        <v>22</v>
      </c>
      <c r="G119" s="3" t="s">
        <v>23</v>
      </c>
      <c r="H119" t="s">
        <v>563</v>
      </c>
      <c r="I119" t="s">
        <v>25</v>
      </c>
      <c r="J119" s="6">
        <v>46014</v>
      </c>
      <c r="K119" t="s">
        <v>564</v>
      </c>
      <c r="L119" t="s">
        <v>18</v>
      </c>
      <c r="M119" s="3" t="s">
        <v>27</v>
      </c>
      <c r="N119" t="s">
        <v>565</v>
      </c>
      <c r="O119" t="s">
        <v>18</v>
      </c>
      <c r="P119" t="s">
        <v>49</v>
      </c>
      <c r="Q119" t="s">
        <v>566</v>
      </c>
      <c r="S119" t="s">
        <v>18</v>
      </c>
      <c r="T119" t="s">
        <v>18</v>
      </c>
    </row>
    <row r="120" spans="1:20">
      <c r="A120" t="str">
        <f t="shared" si="1"/>
        <v>NodeRed-16-000119</v>
      </c>
      <c r="B120" t="s">
        <v>18</v>
      </c>
      <c r="C120" s="3" t="s">
        <v>19</v>
      </c>
      <c r="D120" s="3" t="s">
        <v>20</v>
      </c>
      <c r="E120" s="3" t="s">
        <v>21</v>
      </c>
      <c r="F120" s="4" t="s">
        <v>22</v>
      </c>
      <c r="G120" s="3" t="s">
        <v>23</v>
      </c>
      <c r="H120" t="s">
        <v>567</v>
      </c>
      <c r="I120" t="s">
        <v>25</v>
      </c>
      <c r="J120" s="6">
        <v>46014</v>
      </c>
      <c r="K120" t="s">
        <v>568</v>
      </c>
      <c r="L120" t="s">
        <v>18</v>
      </c>
      <c r="M120" s="3" t="s">
        <v>27</v>
      </c>
      <c r="N120" t="s">
        <v>569</v>
      </c>
      <c r="O120" t="s">
        <v>18</v>
      </c>
      <c r="P120" t="s">
        <v>570</v>
      </c>
      <c r="Q120" t="s">
        <v>571</v>
      </c>
      <c r="S120" t="s">
        <v>18</v>
      </c>
      <c r="T120" t="s">
        <v>18</v>
      </c>
    </row>
    <row r="121" spans="1:20">
      <c r="A121" t="str">
        <f t="shared" si="1"/>
        <v>NodeRed-16-000120</v>
      </c>
      <c r="B121" t="s">
        <v>18</v>
      </c>
      <c r="C121" s="3" t="s">
        <v>19</v>
      </c>
      <c r="D121" s="3" t="s">
        <v>20</v>
      </c>
      <c r="E121" s="3" t="s">
        <v>21</v>
      </c>
      <c r="F121" s="4" t="s">
        <v>22</v>
      </c>
      <c r="G121" s="3" t="s">
        <v>23</v>
      </c>
      <c r="H121" t="s">
        <v>572</v>
      </c>
      <c r="I121" t="s">
        <v>25</v>
      </c>
      <c r="J121" s="6">
        <v>46014</v>
      </c>
      <c r="K121" t="s">
        <v>573</v>
      </c>
      <c r="L121" t="s">
        <v>18</v>
      </c>
      <c r="M121" s="3" t="s">
        <v>27</v>
      </c>
      <c r="N121" t="s">
        <v>574</v>
      </c>
      <c r="O121" t="s">
        <v>18</v>
      </c>
      <c r="P121" t="s">
        <v>575</v>
      </c>
      <c r="Q121" t="s">
        <v>576</v>
      </c>
      <c r="S121" t="s">
        <v>18</v>
      </c>
      <c r="T121" t="s">
        <v>18</v>
      </c>
    </row>
    <row r="122" spans="1:20">
      <c r="A122" t="str">
        <f t="shared" si="1"/>
        <v>NodeRed-16-000121</v>
      </c>
      <c r="B122" t="s">
        <v>18</v>
      </c>
      <c r="C122" s="3" t="s">
        <v>19</v>
      </c>
      <c r="D122" s="3" t="s">
        <v>20</v>
      </c>
      <c r="E122" s="3" t="s">
        <v>21</v>
      </c>
      <c r="F122" s="4" t="s">
        <v>22</v>
      </c>
      <c r="G122" s="3" t="s">
        <v>23</v>
      </c>
      <c r="H122" t="s">
        <v>577</v>
      </c>
      <c r="I122" t="s">
        <v>25</v>
      </c>
      <c r="J122" s="6">
        <v>46014</v>
      </c>
      <c r="K122" t="s">
        <v>578</v>
      </c>
      <c r="L122" t="s">
        <v>18</v>
      </c>
      <c r="M122" s="3" t="s">
        <v>27</v>
      </c>
      <c r="N122" t="s">
        <v>579</v>
      </c>
      <c r="O122" t="s">
        <v>18</v>
      </c>
      <c r="P122" t="s">
        <v>49</v>
      </c>
      <c r="Q122" t="s">
        <v>580</v>
      </c>
      <c r="S122" t="s">
        <v>18</v>
      </c>
      <c r="T122" t="s">
        <v>18</v>
      </c>
    </row>
    <row r="123" spans="1:20">
      <c r="A123" t="str">
        <f t="shared" si="1"/>
        <v>NodeRed-16-000122</v>
      </c>
      <c r="B123" t="s">
        <v>18</v>
      </c>
      <c r="C123" s="3" t="s">
        <v>19</v>
      </c>
      <c r="D123" s="3" t="s">
        <v>20</v>
      </c>
      <c r="E123" s="3" t="s">
        <v>21</v>
      </c>
      <c r="F123" s="4" t="s">
        <v>22</v>
      </c>
      <c r="G123" s="3" t="s">
        <v>23</v>
      </c>
      <c r="H123" t="s">
        <v>581</v>
      </c>
      <c r="I123" t="s">
        <v>25</v>
      </c>
      <c r="J123" s="6">
        <v>46014</v>
      </c>
      <c r="K123" t="s">
        <v>582</v>
      </c>
      <c r="L123" t="s">
        <v>18</v>
      </c>
      <c r="M123" s="3" t="s">
        <v>27</v>
      </c>
      <c r="N123" t="s">
        <v>583</v>
      </c>
      <c r="O123" t="s">
        <v>18</v>
      </c>
      <c r="P123" t="s">
        <v>584</v>
      </c>
      <c r="Q123" t="s">
        <v>585</v>
      </c>
      <c r="S123" t="s">
        <v>18</v>
      </c>
      <c r="T123" t="s">
        <v>18</v>
      </c>
    </row>
    <row r="124" spans="1:20">
      <c r="A124" t="str">
        <f t="shared" si="1"/>
        <v>NodeRed-16-000123</v>
      </c>
      <c r="B124" t="s">
        <v>18</v>
      </c>
      <c r="C124" s="3" t="s">
        <v>19</v>
      </c>
      <c r="D124" s="3" t="s">
        <v>20</v>
      </c>
      <c r="E124" s="3" t="s">
        <v>21</v>
      </c>
      <c r="F124" s="4" t="s">
        <v>22</v>
      </c>
      <c r="G124" s="3" t="s">
        <v>23</v>
      </c>
      <c r="H124" t="s">
        <v>283</v>
      </c>
      <c r="I124" t="s">
        <v>25</v>
      </c>
      <c r="J124" s="6">
        <v>46014</v>
      </c>
      <c r="K124" t="s">
        <v>586</v>
      </c>
      <c r="L124" t="s">
        <v>18</v>
      </c>
      <c r="M124" s="3" t="s">
        <v>27</v>
      </c>
      <c r="N124" t="s">
        <v>587</v>
      </c>
      <c r="O124" t="s">
        <v>18</v>
      </c>
      <c r="P124" t="s">
        <v>588</v>
      </c>
      <c r="Q124" t="s">
        <v>589</v>
      </c>
      <c r="S124" t="s">
        <v>18</v>
      </c>
      <c r="T124" t="s">
        <v>18</v>
      </c>
    </row>
    <row r="125" spans="1:20">
      <c r="A125" t="str">
        <f t="shared" si="1"/>
        <v>NodeRed-16-000124</v>
      </c>
      <c r="B125" t="s">
        <v>18</v>
      </c>
      <c r="C125" s="3" t="s">
        <v>19</v>
      </c>
      <c r="D125" s="3" t="s">
        <v>20</v>
      </c>
      <c r="E125" s="3" t="s">
        <v>21</v>
      </c>
      <c r="F125" s="4" t="s">
        <v>22</v>
      </c>
      <c r="G125" s="3" t="s">
        <v>23</v>
      </c>
      <c r="H125" t="s">
        <v>590</v>
      </c>
      <c r="I125" t="s">
        <v>25</v>
      </c>
      <c r="J125" s="6">
        <v>46014</v>
      </c>
      <c r="K125" t="s">
        <v>591</v>
      </c>
      <c r="L125" t="s">
        <v>18</v>
      </c>
      <c r="M125" s="3" t="s">
        <v>27</v>
      </c>
      <c r="N125" t="s">
        <v>592</v>
      </c>
      <c r="O125" t="s">
        <v>18</v>
      </c>
      <c r="P125" t="s">
        <v>593</v>
      </c>
      <c r="Q125" t="s">
        <v>594</v>
      </c>
      <c r="S125" t="s">
        <v>18</v>
      </c>
      <c r="T125" t="s">
        <v>18</v>
      </c>
    </row>
    <row r="126" spans="1:20">
      <c r="A126" t="str">
        <f t="shared" si="1"/>
        <v>NodeRed-16-000125</v>
      </c>
      <c r="B126" t="s">
        <v>18</v>
      </c>
      <c r="C126" s="3" t="s">
        <v>19</v>
      </c>
      <c r="D126" s="3" t="s">
        <v>20</v>
      </c>
      <c r="E126" s="3" t="s">
        <v>21</v>
      </c>
      <c r="F126" s="4" t="s">
        <v>22</v>
      </c>
      <c r="G126" s="3" t="s">
        <v>23</v>
      </c>
      <c r="H126" t="s">
        <v>595</v>
      </c>
      <c r="I126" t="s">
        <v>25</v>
      </c>
      <c r="J126" s="6">
        <v>46014</v>
      </c>
      <c r="K126" t="s">
        <v>596</v>
      </c>
      <c r="L126" t="s">
        <v>18</v>
      </c>
      <c r="M126" s="3" t="s">
        <v>27</v>
      </c>
      <c r="N126" t="s">
        <v>597</v>
      </c>
      <c r="O126" t="s">
        <v>18</v>
      </c>
      <c r="P126" t="s">
        <v>598</v>
      </c>
      <c r="Q126" t="s">
        <v>599</v>
      </c>
      <c r="S126" t="s">
        <v>18</v>
      </c>
      <c r="T126" t="s">
        <v>18</v>
      </c>
    </row>
    <row r="127" spans="1:20">
      <c r="A127" t="str">
        <f t="shared" si="1"/>
        <v>NodeRed-16-000126</v>
      </c>
      <c r="B127" t="s">
        <v>18</v>
      </c>
      <c r="C127" s="3" t="s">
        <v>19</v>
      </c>
      <c r="D127" s="3" t="s">
        <v>20</v>
      </c>
      <c r="E127" s="3" t="s">
        <v>21</v>
      </c>
      <c r="F127" s="4" t="s">
        <v>22</v>
      </c>
      <c r="G127" s="3" t="s">
        <v>23</v>
      </c>
      <c r="H127" t="s">
        <v>312</v>
      </c>
      <c r="I127" t="s">
        <v>25</v>
      </c>
      <c r="J127" s="6">
        <v>46014</v>
      </c>
      <c r="K127" t="s">
        <v>600</v>
      </c>
      <c r="L127" t="s">
        <v>18</v>
      </c>
      <c r="M127" s="3" t="s">
        <v>27</v>
      </c>
      <c r="N127" t="s">
        <v>601</v>
      </c>
      <c r="O127" t="s">
        <v>18</v>
      </c>
      <c r="P127" t="s">
        <v>602</v>
      </c>
      <c r="Q127" t="s">
        <v>603</v>
      </c>
      <c r="S127" t="s">
        <v>18</v>
      </c>
      <c r="T127" t="s">
        <v>18</v>
      </c>
    </row>
    <row r="128" spans="1:20">
      <c r="A128" t="str">
        <f t="shared" si="1"/>
        <v>NodeRed-16-000127</v>
      </c>
      <c r="B128" t="s">
        <v>18</v>
      </c>
      <c r="C128" s="3" t="s">
        <v>19</v>
      </c>
      <c r="D128" s="3" t="s">
        <v>20</v>
      </c>
      <c r="E128" s="3" t="s">
        <v>21</v>
      </c>
      <c r="F128" s="4" t="s">
        <v>22</v>
      </c>
      <c r="G128" s="3" t="s">
        <v>23</v>
      </c>
      <c r="H128" t="s">
        <v>604</v>
      </c>
      <c r="I128" t="s">
        <v>25</v>
      </c>
      <c r="J128" s="6">
        <v>46014</v>
      </c>
      <c r="K128" t="s">
        <v>605</v>
      </c>
      <c r="L128" t="s">
        <v>18</v>
      </c>
      <c r="M128" s="3" t="s">
        <v>27</v>
      </c>
      <c r="N128" t="s">
        <v>606</v>
      </c>
      <c r="O128" t="s">
        <v>18</v>
      </c>
      <c r="P128" t="s">
        <v>607</v>
      </c>
      <c r="Q128" t="s">
        <v>608</v>
      </c>
      <c r="S128" t="s">
        <v>18</v>
      </c>
      <c r="T128" t="s">
        <v>18</v>
      </c>
    </row>
    <row r="129" spans="1:20">
      <c r="A129" t="str">
        <f t="shared" si="1"/>
        <v>NodeRed-16-000128</v>
      </c>
      <c r="B129" t="s">
        <v>18</v>
      </c>
      <c r="C129" s="3" t="s">
        <v>19</v>
      </c>
      <c r="D129" s="3" t="s">
        <v>20</v>
      </c>
      <c r="E129" s="3" t="s">
        <v>21</v>
      </c>
      <c r="F129" s="4" t="s">
        <v>22</v>
      </c>
      <c r="G129" s="3" t="s">
        <v>23</v>
      </c>
      <c r="H129" t="s">
        <v>609</v>
      </c>
      <c r="I129" t="s">
        <v>25</v>
      </c>
      <c r="J129" s="6">
        <v>46014</v>
      </c>
      <c r="K129" t="s">
        <v>610</v>
      </c>
      <c r="L129" t="s">
        <v>18</v>
      </c>
      <c r="M129" s="3" t="s">
        <v>27</v>
      </c>
      <c r="N129" t="s">
        <v>611</v>
      </c>
      <c r="O129" t="s">
        <v>18</v>
      </c>
      <c r="P129" t="s">
        <v>507</v>
      </c>
      <c r="Q129" t="s">
        <v>612</v>
      </c>
      <c r="S129" t="s">
        <v>18</v>
      </c>
      <c r="T129" t="s">
        <v>18</v>
      </c>
    </row>
    <row r="130" spans="1:20">
      <c r="A130" t="str">
        <f t="shared" ref="A130:A193" si="2">_xlfn.CONCAT("NodeRed-16-",TEXT(ROW()-1,"000000"))</f>
        <v>NodeRed-16-000129</v>
      </c>
      <c r="B130" t="s">
        <v>18</v>
      </c>
      <c r="C130" s="3" t="s">
        <v>19</v>
      </c>
      <c r="D130" s="3" t="s">
        <v>20</v>
      </c>
      <c r="E130" s="3" t="s">
        <v>21</v>
      </c>
      <c r="F130" s="4" t="s">
        <v>22</v>
      </c>
      <c r="G130" s="3" t="s">
        <v>23</v>
      </c>
      <c r="H130" t="s">
        <v>613</v>
      </c>
      <c r="I130" t="s">
        <v>25</v>
      </c>
      <c r="J130" s="6">
        <v>46014</v>
      </c>
      <c r="K130" t="s">
        <v>614</v>
      </c>
      <c r="L130" t="s">
        <v>18</v>
      </c>
      <c r="M130" s="3" t="s">
        <v>27</v>
      </c>
      <c r="N130" t="s">
        <v>615</v>
      </c>
      <c r="O130" t="s">
        <v>18</v>
      </c>
      <c r="P130" t="s">
        <v>616</v>
      </c>
      <c r="Q130" t="s">
        <v>617</v>
      </c>
      <c r="S130" t="s">
        <v>18</v>
      </c>
      <c r="T130" t="s">
        <v>18</v>
      </c>
    </row>
    <row r="131" spans="1:20">
      <c r="A131" t="str">
        <f t="shared" si="2"/>
        <v>NodeRed-16-000130</v>
      </c>
      <c r="B131" t="s">
        <v>18</v>
      </c>
      <c r="C131" s="3" t="s">
        <v>19</v>
      </c>
      <c r="D131" s="3" t="s">
        <v>20</v>
      </c>
      <c r="E131" s="3" t="s">
        <v>21</v>
      </c>
      <c r="F131" s="4" t="s">
        <v>22</v>
      </c>
      <c r="G131" s="3" t="s">
        <v>23</v>
      </c>
      <c r="H131" t="s">
        <v>618</v>
      </c>
      <c r="I131" t="s">
        <v>25</v>
      </c>
      <c r="J131" s="6">
        <v>46014</v>
      </c>
      <c r="K131" t="s">
        <v>619</v>
      </c>
      <c r="L131" t="s">
        <v>18</v>
      </c>
      <c r="M131" s="3" t="s">
        <v>27</v>
      </c>
      <c r="N131" t="s">
        <v>620</v>
      </c>
      <c r="O131" t="s">
        <v>18</v>
      </c>
      <c r="P131" t="s">
        <v>621</v>
      </c>
      <c r="Q131" t="s">
        <v>622</v>
      </c>
      <c r="S131" t="s">
        <v>18</v>
      </c>
      <c r="T131" t="s">
        <v>18</v>
      </c>
    </row>
    <row r="132" spans="1:20">
      <c r="A132" t="str">
        <f t="shared" si="2"/>
        <v>NodeRed-16-000131</v>
      </c>
      <c r="B132" t="s">
        <v>18</v>
      </c>
      <c r="C132" s="3" t="s">
        <v>19</v>
      </c>
      <c r="D132" s="3" t="s">
        <v>20</v>
      </c>
      <c r="E132" s="3" t="s">
        <v>21</v>
      </c>
      <c r="F132" s="4" t="s">
        <v>22</v>
      </c>
      <c r="G132" s="3" t="s">
        <v>23</v>
      </c>
      <c r="H132" t="s">
        <v>623</v>
      </c>
      <c r="I132" t="s">
        <v>25</v>
      </c>
      <c r="J132" s="6">
        <v>46014</v>
      </c>
      <c r="K132" t="s">
        <v>624</v>
      </c>
      <c r="L132" t="s">
        <v>18</v>
      </c>
      <c r="M132" s="3" t="s">
        <v>27</v>
      </c>
      <c r="N132" t="s">
        <v>625</v>
      </c>
      <c r="O132" t="s">
        <v>18</v>
      </c>
      <c r="P132" t="s">
        <v>69</v>
      </c>
      <c r="Q132" t="s">
        <v>626</v>
      </c>
      <c r="S132" t="s">
        <v>18</v>
      </c>
      <c r="T132" t="s">
        <v>18</v>
      </c>
    </row>
    <row r="133" spans="1:20">
      <c r="A133" t="str">
        <f t="shared" si="2"/>
        <v>NodeRed-16-000132</v>
      </c>
      <c r="B133" t="s">
        <v>18</v>
      </c>
      <c r="C133" s="3" t="s">
        <v>19</v>
      </c>
      <c r="D133" s="3" t="s">
        <v>20</v>
      </c>
      <c r="E133" s="3" t="s">
        <v>21</v>
      </c>
      <c r="F133" s="4" t="s">
        <v>22</v>
      </c>
      <c r="G133" s="3" t="s">
        <v>23</v>
      </c>
      <c r="H133" t="s">
        <v>76</v>
      </c>
      <c r="I133" t="s">
        <v>25</v>
      </c>
      <c r="J133" s="6">
        <v>46014</v>
      </c>
      <c r="K133" t="s">
        <v>627</v>
      </c>
      <c r="L133" t="s">
        <v>18</v>
      </c>
      <c r="M133" s="3" t="s">
        <v>27</v>
      </c>
      <c r="N133" t="s">
        <v>628</v>
      </c>
      <c r="O133" t="s">
        <v>18</v>
      </c>
      <c r="P133" t="s">
        <v>64</v>
      </c>
      <c r="Q133" t="s">
        <v>629</v>
      </c>
      <c r="S133" t="s">
        <v>18</v>
      </c>
      <c r="T133" t="s">
        <v>18</v>
      </c>
    </row>
    <row r="134" spans="1:20">
      <c r="A134" t="str">
        <f t="shared" si="2"/>
        <v>NodeRed-16-000133</v>
      </c>
      <c r="B134" t="s">
        <v>18</v>
      </c>
      <c r="C134" s="3" t="s">
        <v>19</v>
      </c>
      <c r="D134" s="3" t="s">
        <v>20</v>
      </c>
      <c r="E134" s="3" t="s">
        <v>21</v>
      </c>
      <c r="F134" s="4" t="s">
        <v>22</v>
      </c>
      <c r="G134" s="3" t="s">
        <v>23</v>
      </c>
      <c r="H134" t="s">
        <v>630</v>
      </c>
      <c r="I134" t="s">
        <v>25</v>
      </c>
      <c r="J134" s="6">
        <v>46014</v>
      </c>
      <c r="K134" t="s">
        <v>631</v>
      </c>
      <c r="L134" t="s">
        <v>18</v>
      </c>
      <c r="M134" s="3" t="s">
        <v>27</v>
      </c>
      <c r="N134" t="s">
        <v>632</v>
      </c>
      <c r="O134" t="s">
        <v>18</v>
      </c>
      <c r="P134" t="s">
        <v>49</v>
      </c>
      <c r="Q134" t="s">
        <v>633</v>
      </c>
      <c r="S134" t="s">
        <v>18</v>
      </c>
      <c r="T134" t="s">
        <v>18</v>
      </c>
    </row>
    <row r="135" spans="1:20">
      <c r="A135" t="str">
        <f t="shared" si="2"/>
        <v>NodeRed-16-000134</v>
      </c>
      <c r="B135" t="s">
        <v>18</v>
      </c>
      <c r="C135" s="3" t="s">
        <v>19</v>
      </c>
      <c r="D135" s="3" t="s">
        <v>20</v>
      </c>
      <c r="E135" s="3" t="s">
        <v>21</v>
      </c>
      <c r="F135" s="4" t="s">
        <v>22</v>
      </c>
      <c r="G135" s="3" t="s">
        <v>23</v>
      </c>
      <c r="H135" t="s">
        <v>634</v>
      </c>
      <c r="I135" t="s">
        <v>25</v>
      </c>
      <c r="J135" s="6">
        <v>46014</v>
      </c>
      <c r="K135" t="s">
        <v>635</v>
      </c>
      <c r="L135" t="s">
        <v>18</v>
      </c>
      <c r="M135" s="3" t="s">
        <v>27</v>
      </c>
      <c r="N135" t="s">
        <v>636</v>
      </c>
      <c r="O135" t="s">
        <v>18</v>
      </c>
      <c r="P135" t="s">
        <v>49</v>
      </c>
      <c r="Q135" t="s">
        <v>637</v>
      </c>
      <c r="S135" t="s">
        <v>18</v>
      </c>
      <c r="T135" t="s">
        <v>18</v>
      </c>
    </row>
    <row r="136" spans="1:20">
      <c r="A136" t="str">
        <f t="shared" si="2"/>
        <v>NodeRed-16-000135</v>
      </c>
      <c r="B136" t="s">
        <v>18</v>
      </c>
      <c r="C136" s="3" t="s">
        <v>19</v>
      </c>
      <c r="D136" s="3" t="s">
        <v>20</v>
      </c>
      <c r="E136" s="3" t="s">
        <v>21</v>
      </c>
      <c r="F136" s="4" t="s">
        <v>22</v>
      </c>
      <c r="G136" s="3" t="s">
        <v>23</v>
      </c>
      <c r="H136" t="s">
        <v>638</v>
      </c>
      <c r="I136" t="s">
        <v>25</v>
      </c>
      <c r="J136" s="6">
        <v>46014</v>
      </c>
      <c r="K136" t="s">
        <v>639</v>
      </c>
      <c r="L136" t="s">
        <v>18</v>
      </c>
      <c r="M136" s="3" t="s">
        <v>27</v>
      </c>
      <c r="N136" t="s">
        <v>640</v>
      </c>
      <c r="O136" t="s">
        <v>18</v>
      </c>
      <c r="P136" t="s">
        <v>641</v>
      </c>
      <c r="Q136" t="s">
        <v>642</v>
      </c>
      <c r="S136" t="s">
        <v>18</v>
      </c>
      <c r="T136" t="s">
        <v>18</v>
      </c>
    </row>
    <row r="137" spans="1:20">
      <c r="A137" t="str">
        <f t="shared" si="2"/>
        <v>NodeRed-16-000136</v>
      </c>
      <c r="B137" t="s">
        <v>18</v>
      </c>
      <c r="C137" s="3" t="s">
        <v>19</v>
      </c>
      <c r="D137" s="3" t="s">
        <v>20</v>
      </c>
      <c r="E137" s="3" t="s">
        <v>21</v>
      </c>
      <c r="F137" s="4" t="s">
        <v>22</v>
      </c>
      <c r="G137" s="3" t="s">
        <v>23</v>
      </c>
      <c r="H137" t="s">
        <v>643</v>
      </c>
      <c r="I137" t="s">
        <v>25</v>
      </c>
      <c r="J137" s="6">
        <v>46014</v>
      </c>
      <c r="K137" t="s">
        <v>644</v>
      </c>
      <c r="L137" t="s">
        <v>18</v>
      </c>
      <c r="M137" s="3" t="s">
        <v>27</v>
      </c>
      <c r="N137" t="s">
        <v>645</v>
      </c>
      <c r="O137" t="s">
        <v>18</v>
      </c>
      <c r="P137" t="s">
        <v>49</v>
      </c>
      <c r="Q137" t="s">
        <v>646</v>
      </c>
      <c r="S137" t="s">
        <v>18</v>
      </c>
      <c r="T137" t="s">
        <v>18</v>
      </c>
    </row>
    <row r="138" spans="1:20">
      <c r="A138" t="str">
        <f t="shared" si="2"/>
        <v>NodeRed-16-000137</v>
      </c>
      <c r="B138" t="s">
        <v>18</v>
      </c>
      <c r="C138" s="3" t="s">
        <v>19</v>
      </c>
      <c r="D138" s="3" t="s">
        <v>20</v>
      </c>
      <c r="E138" s="3" t="s">
        <v>21</v>
      </c>
      <c r="F138" s="4" t="s">
        <v>22</v>
      </c>
      <c r="G138" s="3" t="s">
        <v>23</v>
      </c>
      <c r="H138" t="s">
        <v>647</v>
      </c>
      <c r="I138" t="s">
        <v>25</v>
      </c>
      <c r="J138" s="6">
        <v>46014</v>
      </c>
      <c r="K138" t="s">
        <v>648</v>
      </c>
      <c r="L138" t="s">
        <v>18</v>
      </c>
      <c r="M138" s="3" t="s">
        <v>27</v>
      </c>
      <c r="N138" t="s">
        <v>649</v>
      </c>
      <c r="O138" t="s">
        <v>18</v>
      </c>
      <c r="P138" t="s">
        <v>650</v>
      </c>
      <c r="Q138" t="s">
        <v>651</v>
      </c>
      <c r="S138" t="s">
        <v>18</v>
      </c>
      <c r="T138" t="s">
        <v>18</v>
      </c>
    </row>
    <row r="139" spans="1:20">
      <c r="A139" t="str">
        <f t="shared" si="2"/>
        <v>NodeRed-16-000138</v>
      </c>
      <c r="B139" t="s">
        <v>18</v>
      </c>
      <c r="C139" s="3" t="s">
        <v>19</v>
      </c>
      <c r="D139" s="3" t="s">
        <v>20</v>
      </c>
      <c r="E139" s="3" t="s">
        <v>21</v>
      </c>
      <c r="F139" s="4" t="s">
        <v>22</v>
      </c>
      <c r="G139" s="3" t="s">
        <v>23</v>
      </c>
      <c r="H139" t="s">
        <v>652</v>
      </c>
      <c r="I139" t="s">
        <v>25</v>
      </c>
      <c r="J139" s="6">
        <v>46014</v>
      </c>
      <c r="K139" t="s">
        <v>653</v>
      </c>
      <c r="L139" t="s">
        <v>18</v>
      </c>
      <c r="M139" s="3" t="s">
        <v>27</v>
      </c>
      <c r="N139" t="s">
        <v>654</v>
      </c>
      <c r="O139" t="s">
        <v>18</v>
      </c>
      <c r="P139" t="s">
        <v>655</v>
      </c>
      <c r="Q139" t="s">
        <v>656</v>
      </c>
      <c r="S139" t="s">
        <v>18</v>
      </c>
      <c r="T139" t="s">
        <v>18</v>
      </c>
    </row>
    <row r="140" spans="1:20">
      <c r="A140" t="str">
        <f t="shared" si="2"/>
        <v>NodeRed-16-000139</v>
      </c>
      <c r="B140" t="s">
        <v>18</v>
      </c>
      <c r="C140" s="3" t="s">
        <v>19</v>
      </c>
      <c r="D140" s="3" t="s">
        <v>20</v>
      </c>
      <c r="E140" s="3" t="s">
        <v>21</v>
      </c>
      <c r="F140" s="4" t="s">
        <v>22</v>
      </c>
      <c r="G140" s="3" t="s">
        <v>23</v>
      </c>
      <c r="H140" t="s">
        <v>657</v>
      </c>
      <c r="I140" t="s">
        <v>25</v>
      </c>
      <c r="J140" s="6">
        <v>46014</v>
      </c>
      <c r="K140" t="s">
        <v>658</v>
      </c>
      <c r="L140" t="s">
        <v>18</v>
      </c>
      <c r="M140" s="3" t="s">
        <v>27</v>
      </c>
      <c r="N140" t="s">
        <v>659</v>
      </c>
      <c r="O140" t="s">
        <v>18</v>
      </c>
      <c r="P140" t="s">
        <v>660</v>
      </c>
      <c r="Q140" t="s">
        <v>661</v>
      </c>
      <c r="S140" t="s">
        <v>18</v>
      </c>
      <c r="T140" t="s">
        <v>18</v>
      </c>
    </row>
    <row r="141" spans="1:20">
      <c r="A141" t="str">
        <f t="shared" si="2"/>
        <v>NodeRed-16-000140</v>
      </c>
      <c r="B141" t="s">
        <v>18</v>
      </c>
      <c r="C141" s="3" t="s">
        <v>19</v>
      </c>
      <c r="D141" s="3" t="s">
        <v>20</v>
      </c>
      <c r="E141" s="3" t="s">
        <v>21</v>
      </c>
      <c r="F141" s="4" t="s">
        <v>22</v>
      </c>
      <c r="G141" s="3" t="s">
        <v>23</v>
      </c>
      <c r="H141" t="s">
        <v>662</v>
      </c>
      <c r="I141" t="s">
        <v>25</v>
      </c>
      <c r="J141" s="6">
        <v>46014</v>
      </c>
      <c r="K141" t="s">
        <v>663</v>
      </c>
      <c r="L141" t="s">
        <v>18</v>
      </c>
      <c r="M141" s="3" t="s">
        <v>27</v>
      </c>
      <c r="N141" t="s">
        <v>664</v>
      </c>
      <c r="O141" t="s">
        <v>18</v>
      </c>
      <c r="P141" t="s">
        <v>665</v>
      </c>
      <c r="Q141" t="s">
        <v>666</v>
      </c>
      <c r="S141" t="s">
        <v>18</v>
      </c>
      <c r="T141" t="s">
        <v>18</v>
      </c>
    </row>
    <row r="142" spans="1:20">
      <c r="A142" t="str">
        <f t="shared" si="2"/>
        <v>NodeRed-16-000141</v>
      </c>
      <c r="B142" t="s">
        <v>18</v>
      </c>
      <c r="C142" s="3" t="s">
        <v>19</v>
      </c>
      <c r="D142" s="3" t="s">
        <v>20</v>
      </c>
      <c r="E142" s="3" t="s">
        <v>21</v>
      </c>
      <c r="F142" s="4" t="s">
        <v>22</v>
      </c>
      <c r="G142" s="3" t="s">
        <v>23</v>
      </c>
      <c r="H142" t="s">
        <v>667</v>
      </c>
      <c r="I142" t="s">
        <v>25</v>
      </c>
      <c r="J142" s="6">
        <v>46014</v>
      </c>
      <c r="K142" t="s">
        <v>668</v>
      </c>
      <c r="L142" t="s">
        <v>18</v>
      </c>
      <c r="M142" s="3" t="s">
        <v>27</v>
      </c>
      <c r="N142" t="s">
        <v>669</v>
      </c>
      <c r="O142" t="s">
        <v>18</v>
      </c>
      <c r="P142" t="s">
        <v>181</v>
      </c>
      <c r="Q142" t="s">
        <v>670</v>
      </c>
      <c r="S142" t="s">
        <v>18</v>
      </c>
      <c r="T142" t="s">
        <v>18</v>
      </c>
    </row>
    <row r="143" spans="1:20">
      <c r="A143" t="str">
        <f t="shared" si="2"/>
        <v>NodeRed-16-000142</v>
      </c>
      <c r="B143" t="s">
        <v>18</v>
      </c>
      <c r="C143" s="3" t="s">
        <v>19</v>
      </c>
      <c r="D143" s="3" t="s">
        <v>20</v>
      </c>
      <c r="E143" s="3" t="s">
        <v>21</v>
      </c>
      <c r="F143" s="4" t="s">
        <v>22</v>
      </c>
      <c r="G143" s="3" t="s">
        <v>23</v>
      </c>
      <c r="H143" t="s">
        <v>671</v>
      </c>
      <c r="I143" t="s">
        <v>25</v>
      </c>
      <c r="J143" s="6">
        <v>46014</v>
      </c>
      <c r="K143" t="s">
        <v>672</v>
      </c>
      <c r="L143" t="s">
        <v>18</v>
      </c>
      <c r="M143" s="3" t="s">
        <v>27</v>
      </c>
      <c r="N143" t="s">
        <v>673</v>
      </c>
      <c r="O143" t="s">
        <v>18</v>
      </c>
      <c r="P143" t="s">
        <v>69</v>
      </c>
      <c r="Q143" t="s">
        <v>674</v>
      </c>
      <c r="S143" t="s">
        <v>18</v>
      </c>
      <c r="T143" t="s">
        <v>18</v>
      </c>
    </row>
    <row r="144" spans="1:20">
      <c r="A144" t="str">
        <f t="shared" si="2"/>
        <v>NodeRed-16-000143</v>
      </c>
      <c r="B144" t="s">
        <v>18</v>
      </c>
      <c r="C144" s="3" t="s">
        <v>19</v>
      </c>
      <c r="D144" s="3" t="s">
        <v>20</v>
      </c>
      <c r="E144" s="3" t="s">
        <v>21</v>
      </c>
      <c r="F144" s="4" t="s">
        <v>22</v>
      </c>
      <c r="G144" s="3" t="s">
        <v>23</v>
      </c>
      <c r="H144" t="s">
        <v>675</v>
      </c>
      <c r="I144" t="s">
        <v>25</v>
      </c>
      <c r="J144" s="6">
        <v>46014</v>
      </c>
      <c r="K144" t="s">
        <v>676</v>
      </c>
      <c r="L144" t="s">
        <v>18</v>
      </c>
      <c r="M144" s="3" t="s">
        <v>27</v>
      </c>
      <c r="N144" t="s">
        <v>677</v>
      </c>
      <c r="O144" t="s">
        <v>18</v>
      </c>
      <c r="P144" t="s">
        <v>151</v>
      </c>
      <c r="Q144" t="s">
        <v>678</v>
      </c>
      <c r="S144" t="s">
        <v>18</v>
      </c>
      <c r="T144" t="s">
        <v>18</v>
      </c>
    </row>
    <row r="145" spans="1:20">
      <c r="A145" t="str">
        <f t="shared" si="2"/>
        <v>NodeRed-16-000144</v>
      </c>
      <c r="B145" t="s">
        <v>18</v>
      </c>
      <c r="C145" s="3" t="s">
        <v>19</v>
      </c>
      <c r="D145" s="3" t="s">
        <v>20</v>
      </c>
      <c r="E145" s="3" t="s">
        <v>21</v>
      </c>
      <c r="F145" s="4" t="s">
        <v>22</v>
      </c>
      <c r="G145" s="3" t="s">
        <v>23</v>
      </c>
      <c r="H145" t="s">
        <v>679</v>
      </c>
      <c r="I145" t="s">
        <v>25</v>
      </c>
      <c r="J145" s="6">
        <v>46014</v>
      </c>
      <c r="K145" t="s">
        <v>680</v>
      </c>
      <c r="L145" t="s">
        <v>18</v>
      </c>
      <c r="M145" s="3" t="s">
        <v>27</v>
      </c>
      <c r="N145" t="s">
        <v>681</v>
      </c>
      <c r="O145" t="s">
        <v>18</v>
      </c>
      <c r="P145" t="s">
        <v>151</v>
      </c>
      <c r="Q145" t="s">
        <v>682</v>
      </c>
      <c r="S145" t="s">
        <v>18</v>
      </c>
      <c r="T145" t="s">
        <v>18</v>
      </c>
    </row>
    <row r="146" spans="1:20">
      <c r="A146" t="str">
        <f t="shared" si="2"/>
        <v>NodeRed-16-000145</v>
      </c>
      <c r="B146" t="s">
        <v>18</v>
      </c>
      <c r="C146" s="3" t="s">
        <v>19</v>
      </c>
      <c r="D146" s="3" t="s">
        <v>20</v>
      </c>
      <c r="E146" s="3" t="s">
        <v>21</v>
      </c>
      <c r="F146" s="4" t="s">
        <v>22</v>
      </c>
      <c r="G146" s="3" t="s">
        <v>23</v>
      </c>
      <c r="H146" t="s">
        <v>683</v>
      </c>
      <c r="I146" t="s">
        <v>25</v>
      </c>
      <c r="J146" s="6">
        <v>46014</v>
      </c>
      <c r="K146" t="s">
        <v>684</v>
      </c>
      <c r="L146" t="s">
        <v>18</v>
      </c>
      <c r="M146" s="3" t="s">
        <v>27</v>
      </c>
      <c r="N146" t="s">
        <v>685</v>
      </c>
      <c r="O146" t="s">
        <v>18</v>
      </c>
      <c r="P146" t="s">
        <v>432</v>
      </c>
      <c r="Q146" t="s">
        <v>686</v>
      </c>
      <c r="S146" t="s">
        <v>18</v>
      </c>
      <c r="T146" t="s">
        <v>18</v>
      </c>
    </row>
    <row r="147" spans="1:20">
      <c r="A147" t="str">
        <f t="shared" si="2"/>
        <v>NodeRed-16-000146</v>
      </c>
      <c r="B147" t="s">
        <v>18</v>
      </c>
      <c r="C147" s="3" t="s">
        <v>19</v>
      </c>
      <c r="D147" s="3" t="s">
        <v>20</v>
      </c>
      <c r="E147" s="3" t="s">
        <v>21</v>
      </c>
      <c r="F147" s="4" t="s">
        <v>22</v>
      </c>
      <c r="G147" s="3" t="s">
        <v>23</v>
      </c>
      <c r="H147" t="s">
        <v>687</v>
      </c>
      <c r="I147" t="s">
        <v>25</v>
      </c>
      <c r="J147" s="6">
        <v>46014</v>
      </c>
      <c r="K147" t="s">
        <v>688</v>
      </c>
      <c r="L147" t="s">
        <v>18</v>
      </c>
      <c r="M147" s="3" t="s">
        <v>27</v>
      </c>
      <c r="N147" t="s">
        <v>689</v>
      </c>
      <c r="O147" t="s">
        <v>18</v>
      </c>
      <c r="P147" t="s">
        <v>690</v>
      </c>
      <c r="Q147" t="s">
        <v>691</v>
      </c>
      <c r="S147" t="s">
        <v>18</v>
      </c>
      <c r="T147" t="s">
        <v>18</v>
      </c>
    </row>
    <row r="148" spans="1:20">
      <c r="A148" t="str">
        <f t="shared" si="2"/>
        <v>NodeRed-16-000147</v>
      </c>
      <c r="B148" t="s">
        <v>18</v>
      </c>
      <c r="C148" s="3" t="s">
        <v>19</v>
      </c>
      <c r="D148" s="3" t="s">
        <v>20</v>
      </c>
      <c r="E148" s="3" t="s">
        <v>21</v>
      </c>
      <c r="F148" s="4" t="s">
        <v>22</v>
      </c>
      <c r="G148" s="3" t="s">
        <v>23</v>
      </c>
      <c r="H148" t="s">
        <v>692</v>
      </c>
      <c r="I148" t="s">
        <v>25</v>
      </c>
      <c r="J148" s="6">
        <v>46014</v>
      </c>
      <c r="K148" t="s">
        <v>693</v>
      </c>
      <c r="L148" t="s">
        <v>18</v>
      </c>
      <c r="M148" s="3" t="s">
        <v>27</v>
      </c>
      <c r="N148" t="s">
        <v>694</v>
      </c>
      <c r="O148" t="s">
        <v>18</v>
      </c>
      <c r="P148" t="s">
        <v>695</v>
      </c>
      <c r="Q148" t="s">
        <v>696</v>
      </c>
      <c r="S148" t="s">
        <v>18</v>
      </c>
      <c r="T148" t="s">
        <v>18</v>
      </c>
    </row>
    <row r="149" spans="1:20">
      <c r="A149" t="str">
        <f t="shared" si="2"/>
        <v>NodeRed-16-000148</v>
      </c>
      <c r="B149" t="s">
        <v>18</v>
      </c>
      <c r="C149" s="3" t="s">
        <v>19</v>
      </c>
      <c r="D149" s="3" t="s">
        <v>20</v>
      </c>
      <c r="E149" s="3" t="s">
        <v>21</v>
      </c>
      <c r="F149" s="4" t="s">
        <v>22</v>
      </c>
      <c r="G149" s="3" t="s">
        <v>23</v>
      </c>
      <c r="H149" t="s">
        <v>697</v>
      </c>
      <c r="I149" t="s">
        <v>25</v>
      </c>
      <c r="J149" s="6">
        <v>46014</v>
      </c>
      <c r="K149" t="s">
        <v>698</v>
      </c>
      <c r="L149" t="s">
        <v>18</v>
      </c>
      <c r="M149" s="3" t="s">
        <v>27</v>
      </c>
      <c r="N149" t="s">
        <v>699</v>
      </c>
      <c r="O149" t="s">
        <v>18</v>
      </c>
      <c r="P149" t="s">
        <v>49</v>
      </c>
      <c r="Q149" t="s">
        <v>700</v>
      </c>
      <c r="S149" t="s">
        <v>18</v>
      </c>
      <c r="T149" t="s">
        <v>18</v>
      </c>
    </row>
    <row r="150" spans="1:20">
      <c r="A150" t="str">
        <f t="shared" si="2"/>
        <v>NodeRed-16-000149</v>
      </c>
      <c r="B150" t="s">
        <v>18</v>
      </c>
      <c r="C150" s="3" t="s">
        <v>19</v>
      </c>
      <c r="D150" s="3" t="s">
        <v>20</v>
      </c>
      <c r="E150" s="3" t="s">
        <v>21</v>
      </c>
      <c r="F150" s="4" t="s">
        <v>22</v>
      </c>
      <c r="G150" s="3" t="s">
        <v>23</v>
      </c>
      <c r="H150" t="s">
        <v>701</v>
      </c>
      <c r="I150" t="s">
        <v>25</v>
      </c>
      <c r="J150" s="6">
        <v>46014</v>
      </c>
      <c r="K150" t="s">
        <v>702</v>
      </c>
      <c r="L150" t="s">
        <v>18</v>
      </c>
      <c r="M150" s="3" t="s">
        <v>27</v>
      </c>
      <c r="N150" t="s">
        <v>703</v>
      </c>
      <c r="O150" t="s">
        <v>18</v>
      </c>
      <c r="P150" t="s">
        <v>704</v>
      </c>
      <c r="Q150" t="s">
        <v>705</v>
      </c>
      <c r="S150" t="s">
        <v>18</v>
      </c>
      <c r="T150" t="s">
        <v>18</v>
      </c>
    </row>
    <row r="151" spans="1:20">
      <c r="A151" t="str">
        <f t="shared" si="2"/>
        <v>NodeRed-16-000150</v>
      </c>
      <c r="B151" t="s">
        <v>18</v>
      </c>
      <c r="C151" s="3" t="s">
        <v>19</v>
      </c>
      <c r="D151" s="3" t="s">
        <v>20</v>
      </c>
      <c r="E151" s="3" t="s">
        <v>21</v>
      </c>
      <c r="F151" s="4" t="s">
        <v>22</v>
      </c>
      <c r="G151" s="3" t="s">
        <v>23</v>
      </c>
      <c r="H151" t="s">
        <v>706</v>
      </c>
      <c r="I151" t="s">
        <v>25</v>
      </c>
      <c r="J151" s="6">
        <v>46014</v>
      </c>
      <c r="K151" t="s">
        <v>707</v>
      </c>
      <c r="L151" t="s">
        <v>18</v>
      </c>
      <c r="M151" s="3" t="s">
        <v>27</v>
      </c>
      <c r="N151" t="s">
        <v>708</v>
      </c>
      <c r="O151" t="s">
        <v>18</v>
      </c>
      <c r="P151" t="s">
        <v>64</v>
      </c>
      <c r="Q151" t="s">
        <v>709</v>
      </c>
      <c r="S151" t="s">
        <v>18</v>
      </c>
      <c r="T151" t="s">
        <v>18</v>
      </c>
    </row>
    <row r="152" spans="1:20">
      <c r="A152" t="str">
        <f t="shared" si="2"/>
        <v>NodeRed-16-000151</v>
      </c>
      <c r="B152" t="s">
        <v>18</v>
      </c>
      <c r="C152" s="3" t="s">
        <v>19</v>
      </c>
      <c r="D152" s="3" t="s">
        <v>20</v>
      </c>
      <c r="E152" s="3" t="s">
        <v>21</v>
      </c>
      <c r="F152" s="4" t="s">
        <v>22</v>
      </c>
      <c r="G152" s="3" t="s">
        <v>23</v>
      </c>
      <c r="H152" t="s">
        <v>710</v>
      </c>
      <c r="I152" t="s">
        <v>25</v>
      </c>
      <c r="J152" s="6">
        <v>46014</v>
      </c>
      <c r="K152" t="s">
        <v>711</v>
      </c>
      <c r="L152" t="s">
        <v>18</v>
      </c>
      <c r="M152" s="3" t="s">
        <v>27</v>
      </c>
      <c r="N152" t="s">
        <v>712</v>
      </c>
      <c r="O152" t="s">
        <v>18</v>
      </c>
      <c r="P152" t="s">
        <v>713</v>
      </c>
      <c r="Q152" t="s">
        <v>714</v>
      </c>
      <c r="S152" t="s">
        <v>18</v>
      </c>
      <c r="T152" t="s">
        <v>18</v>
      </c>
    </row>
    <row r="153" spans="1:20">
      <c r="A153" t="str">
        <f t="shared" si="2"/>
        <v>NodeRed-16-000152</v>
      </c>
      <c r="B153" t="s">
        <v>18</v>
      </c>
      <c r="C153" s="3" t="s">
        <v>19</v>
      </c>
      <c r="D153" s="3" t="s">
        <v>20</v>
      </c>
      <c r="E153" s="3" t="s">
        <v>21</v>
      </c>
      <c r="F153" s="4" t="s">
        <v>22</v>
      </c>
      <c r="G153" s="3" t="s">
        <v>23</v>
      </c>
      <c r="H153" t="s">
        <v>715</v>
      </c>
      <c r="I153" t="s">
        <v>25</v>
      </c>
      <c r="J153" s="6">
        <v>46014</v>
      </c>
      <c r="K153" t="s">
        <v>716</v>
      </c>
      <c r="L153" t="s">
        <v>18</v>
      </c>
      <c r="M153" s="3" t="s">
        <v>27</v>
      </c>
      <c r="N153" t="s">
        <v>717</v>
      </c>
      <c r="O153" t="s">
        <v>18</v>
      </c>
      <c r="P153" t="s">
        <v>229</v>
      </c>
      <c r="Q153" t="s">
        <v>718</v>
      </c>
      <c r="S153" t="s">
        <v>18</v>
      </c>
      <c r="T153" t="s">
        <v>18</v>
      </c>
    </row>
    <row r="154" spans="1:20">
      <c r="A154" t="str">
        <f t="shared" si="2"/>
        <v>NodeRed-16-000153</v>
      </c>
      <c r="B154" t="s">
        <v>18</v>
      </c>
      <c r="C154" s="3" t="s">
        <v>19</v>
      </c>
      <c r="D154" s="3" t="s">
        <v>20</v>
      </c>
      <c r="E154" s="3" t="s">
        <v>21</v>
      </c>
      <c r="F154" s="4" t="s">
        <v>22</v>
      </c>
      <c r="G154" s="3" t="s">
        <v>23</v>
      </c>
      <c r="H154" t="s">
        <v>719</v>
      </c>
      <c r="I154" t="s">
        <v>25</v>
      </c>
      <c r="J154" s="6">
        <v>46014</v>
      </c>
      <c r="K154" t="s">
        <v>720</v>
      </c>
      <c r="L154" t="s">
        <v>18</v>
      </c>
      <c r="M154" s="3" t="s">
        <v>27</v>
      </c>
      <c r="N154" t="s">
        <v>721</v>
      </c>
      <c r="O154" t="s">
        <v>18</v>
      </c>
      <c r="P154" t="s">
        <v>722</v>
      </c>
      <c r="Q154" t="s">
        <v>723</v>
      </c>
      <c r="S154" t="s">
        <v>18</v>
      </c>
      <c r="T154" t="s">
        <v>18</v>
      </c>
    </row>
    <row r="155" spans="1:20">
      <c r="A155" t="str">
        <f t="shared" si="2"/>
        <v>NodeRed-16-000154</v>
      </c>
      <c r="B155" t="s">
        <v>18</v>
      </c>
      <c r="C155" s="3" t="s">
        <v>19</v>
      </c>
      <c r="D155" s="3" t="s">
        <v>20</v>
      </c>
      <c r="E155" s="3" t="s">
        <v>21</v>
      </c>
      <c r="F155" s="4" t="s">
        <v>22</v>
      </c>
      <c r="G155" s="3" t="s">
        <v>23</v>
      </c>
      <c r="H155" t="s">
        <v>724</v>
      </c>
      <c r="I155" t="s">
        <v>25</v>
      </c>
      <c r="J155" s="6">
        <v>46014</v>
      </c>
      <c r="K155" t="s">
        <v>725</v>
      </c>
      <c r="L155" t="s">
        <v>18</v>
      </c>
      <c r="M155" s="3" t="s">
        <v>27</v>
      </c>
      <c r="N155" t="s">
        <v>726</v>
      </c>
      <c r="O155" t="s">
        <v>18</v>
      </c>
      <c r="P155" t="s">
        <v>727</v>
      </c>
      <c r="Q155" t="s">
        <v>728</v>
      </c>
      <c r="S155" t="s">
        <v>18</v>
      </c>
      <c r="T155" t="s">
        <v>18</v>
      </c>
    </row>
    <row r="156" spans="1:20">
      <c r="A156" t="str">
        <f t="shared" si="2"/>
        <v>NodeRed-16-000155</v>
      </c>
      <c r="B156" t="s">
        <v>18</v>
      </c>
      <c r="C156" s="3" t="s">
        <v>19</v>
      </c>
      <c r="D156" s="3" t="s">
        <v>20</v>
      </c>
      <c r="E156" s="3" t="s">
        <v>21</v>
      </c>
      <c r="F156" s="4" t="s">
        <v>22</v>
      </c>
      <c r="G156" s="3" t="s">
        <v>23</v>
      </c>
      <c r="H156" t="s">
        <v>461</v>
      </c>
      <c r="I156" t="s">
        <v>25</v>
      </c>
      <c r="J156" s="6">
        <v>46014</v>
      </c>
      <c r="K156" t="s">
        <v>729</v>
      </c>
      <c r="L156" t="s">
        <v>18</v>
      </c>
      <c r="M156" s="3" t="s">
        <v>27</v>
      </c>
      <c r="N156" t="s">
        <v>730</v>
      </c>
      <c r="O156" t="s">
        <v>18</v>
      </c>
      <c r="P156" t="s">
        <v>731</v>
      </c>
      <c r="Q156" t="s">
        <v>732</v>
      </c>
      <c r="S156" t="s">
        <v>18</v>
      </c>
      <c r="T156" t="s">
        <v>18</v>
      </c>
    </row>
    <row r="157" spans="1:20">
      <c r="A157" t="str">
        <f t="shared" si="2"/>
        <v>NodeRed-16-000156</v>
      </c>
      <c r="B157" t="s">
        <v>18</v>
      </c>
      <c r="C157" s="3" t="s">
        <v>19</v>
      </c>
      <c r="D157" s="3" t="s">
        <v>20</v>
      </c>
      <c r="E157" s="3" t="s">
        <v>21</v>
      </c>
      <c r="F157" s="4" t="s">
        <v>22</v>
      </c>
      <c r="G157" s="3" t="s">
        <v>23</v>
      </c>
      <c r="H157" t="s">
        <v>733</v>
      </c>
      <c r="I157" t="s">
        <v>25</v>
      </c>
      <c r="J157" s="6">
        <v>46014</v>
      </c>
      <c r="K157" t="s">
        <v>734</v>
      </c>
      <c r="L157" t="s">
        <v>18</v>
      </c>
      <c r="M157" s="3" t="s">
        <v>27</v>
      </c>
      <c r="N157" t="s">
        <v>735</v>
      </c>
      <c r="O157" t="s">
        <v>18</v>
      </c>
      <c r="P157" t="s">
        <v>229</v>
      </c>
      <c r="Q157" t="s">
        <v>736</v>
      </c>
      <c r="S157" t="s">
        <v>18</v>
      </c>
      <c r="T157" t="s">
        <v>18</v>
      </c>
    </row>
    <row r="158" spans="1:20">
      <c r="A158" t="str">
        <f t="shared" si="2"/>
        <v>NodeRed-16-000157</v>
      </c>
      <c r="B158" t="s">
        <v>18</v>
      </c>
      <c r="C158" s="3" t="s">
        <v>19</v>
      </c>
      <c r="D158" s="3" t="s">
        <v>20</v>
      </c>
      <c r="E158" s="3" t="s">
        <v>21</v>
      </c>
      <c r="F158" s="4" t="s">
        <v>22</v>
      </c>
      <c r="G158" s="3" t="s">
        <v>23</v>
      </c>
      <c r="H158" t="s">
        <v>737</v>
      </c>
      <c r="I158" t="s">
        <v>25</v>
      </c>
      <c r="J158" s="6">
        <v>46014</v>
      </c>
      <c r="K158" t="s">
        <v>738</v>
      </c>
      <c r="L158" t="s">
        <v>18</v>
      </c>
      <c r="M158" s="3" t="s">
        <v>27</v>
      </c>
      <c r="N158" t="s">
        <v>739</v>
      </c>
      <c r="O158" t="s">
        <v>18</v>
      </c>
      <c r="P158" t="s">
        <v>59</v>
      </c>
      <c r="Q158" t="s">
        <v>740</v>
      </c>
      <c r="S158" t="s">
        <v>18</v>
      </c>
      <c r="T158" t="s">
        <v>18</v>
      </c>
    </row>
    <row r="159" spans="1:20">
      <c r="A159" t="str">
        <f t="shared" si="2"/>
        <v>NodeRed-16-000158</v>
      </c>
      <c r="B159" t="s">
        <v>18</v>
      </c>
      <c r="C159" s="3" t="s">
        <v>19</v>
      </c>
      <c r="D159" s="3" t="s">
        <v>20</v>
      </c>
      <c r="E159" s="3" t="s">
        <v>21</v>
      </c>
      <c r="F159" s="4" t="s">
        <v>22</v>
      </c>
      <c r="G159" s="3" t="s">
        <v>23</v>
      </c>
      <c r="H159" t="s">
        <v>741</v>
      </c>
      <c r="I159" t="s">
        <v>25</v>
      </c>
      <c r="J159" s="6">
        <v>46014</v>
      </c>
      <c r="K159" t="s">
        <v>742</v>
      </c>
      <c r="L159" t="s">
        <v>18</v>
      </c>
      <c r="M159" s="3" t="s">
        <v>27</v>
      </c>
      <c r="N159" t="s">
        <v>743</v>
      </c>
      <c r="O159" t="s">
        <v>18</v>
      </c>
      <c r="P159" t="s">
        <v>229</v>
      </c>
      <c r="Q159" t="s">
        <v>744</v>
      </c>
      <c r="S159" t="s">
        <v>18</v>
      </c>
      <c r="T159" t="s">
        <v>18</v>
      </c>
    </row>
    <row r="160" spans="1:20">
      <c r="A160" t="str">
        <f t="shared" si="2"/>
        <v>NodeRed-16-000159</v>
      </c>
      <c r="B160" t="s">
        <v>18</v>
      </c>
      <c r="C160" s="3" t="s">
        <v>19</v>
      </c>
      <c r="D160" s="3" t="s">
        <v>20</v>
      </c>
      <c r="E160" s="3" t="s">
        <v>21</v>
      </c>
      <c r="F160" s="4" t="s">
        <v>22</v>
      </c>
      <c r="G160" s="3" t="s">
        <v>23</v>
      </c>
      <c r="H160" t="s">
        <v>312</v>
      </c>
      <c r="I160" t="s">
        <v>25</v>
      </c>
      <c r="J160" s="6">
        <v>46014</v>
      </c>
      <c r="K160" t="s">
        <v>745</v>
      </c>
      <c r="L160" t="s">
        <v>18</v>
      </c>
      <c r="M160" s="3" t="s">
        <v>27</v>
      </c>
      <c r="N160" t="s">
        <v>746</v>
      </c>
      <c r="O160" t="s">
        <v>18</v>
      </c>
      <c r="P160" t="s">
        <v>747</v>
      </c>
      <c r="Q160" t="s">
        <v>748</v>
      </c>
      <c r="S160" t="s">
        <v>18</v>
      </c>
      <c r="T160" t="s">
        <v>18</v>
      </c>
    </row>
    <row r="161" spans="1:20">
      <c r="A161" t="str">
        <f t="shared" si="2"/>
        <v>NodeRed-16-000160</v>
      </c>
      <c r="B161" t="s">
        <v>18</v>
      </c>
      <c r="C161" s="3" t="s">
        <v>19</v>
      </c>
      <c r="D161" s="3" t="s">
        <v>20</v>
      </c>
      <c r="E161" s="3" t="s">
        <v>21</v>
      </c>
      <c r="F161" s="4" t="s">
        <v>22</v>
      </c>
      <c r="G161" s="3" t="s">
        <v>23</v>
      </c>
      <c r="H161" t="s">
        <v>749</v>
      </c>
      <c r="I161" t="s">
        <v>25</v>
      </c>
      <c r="J161" s="6">
        <v>46014</v>
      </c>
      <c r="K161" t="s">
        <v>750</v>
      </c>
      <c r="L161" t="s">
        <v>18</v>
      </c>
      <c r="M161" s="3" t="s">
        <v>27</v>
      </c>
      <c r="N161" t="s">
        <v>751</v>
      </c>
      <c r="O161" t="s">
        <v>18</v>
      </c>
      <c r="P161" t="s">
        <v>752</v>
      </c>
      <c r="Q161" t="s">
        <v>753</v>
      </c>
      <c r="S161" t="s">
        <v>18</v>
      </c>
      <c r="T161" t="s">
        <v>18</v>
      </c>
    </row>
    <row r="162" spans="1:20">
      <c r="A162" t="str">
        <f t="shared" si="2"/>
        <v>NodeRed-16-000161</v>
      </c>
      <c r="B162" t="s">
        <v>18</v>
      </c>
      <c r="C162" s="3" t="s">
        <v>19</v>
      </c>
      <c r="D162" s="3" t="s">
        <v>20</v>
      </c>
      <c r="E162" s="3" t="s">
        <v>21</v>
      </c>
      <c r="F162" s="4" t="s">
        <v>22</v>
      </c>
      <c r="G162" s="3" t="s">
        <v>23</v>
      </c>
      <c r="H162" t="s">
        <v>754</v>
      </c>
      <c r="I162" t="s">
        <v>25</v>
      </c>
      <c r="J162" s="6">
        <v>46014</v>
      </c>
      <c r="K162" t="s">
        <v>755</v>
      </c>
      <c r="L162" t="s">
        <v>18</v>
      </c>
      <c r="M162" s="3" t="s">
        <v>27</v>
      </c>
      <c r="N162" t="s">
        <v>756</v>
      </c>
      <c r="O162" t="s">
        <v>18</v>
      </c>
      <c r="P162" t="s">
        <v>757</v>
      </c>
      <c r="Q162" t="s">
        <v>758</v>
      </c>
      <c r="S162" t="s">
        <v>18</v>
      </c>
      <c r="T162" t="s">
        <v>18</v>
      </c>
    </row>
    <row r="163" spans="1:20">
      <c r="A163" t="str">
        <f t="shared" si="2"/>
        <v>NodeRed-16-000162</v>
      </c>
      <c r="B163" t="s">
        <v>18</v>
      </c>
      <c r="C163" s="3" t="s">
        <v>19</v>
      </c>
      <c r="D163" s="3" t="s">
        <v>20</v>
      </c>
      <c r="E163" s="3" t="s">
        <v>21</v>
      </c>
      <c r="F163" s="4" t="s">
        <v>22</v>
      </c>
      <c r="G163" s="3" t="s">
        <v>23</v>
      </c>
      <c r="H163" t="s">
        <v>759</v>
      </c>
      <c r="I163" t="s">
        <v>25</v>
      </c>
      <c r="J163" s="6">
        <v>46014</v>
      </c>
      <c r="K163" t="s">
        <v>760</v>
      </c>
      <c r="L163" t="s">
        <v>18</v>
      </c>
      <c r="M163" s="3" t="s">
        <v>27</v>
      </c>
      <c r="N163" t="s">
        <v>761</v>
      </c>
      <c r="O163" t="s">
        <v>18</v>
      </c>
      <c r="P163" t="s">
        <v>762</v>
      </c>
      <c r="Q163" t="s">
        <v>763</v>
      </c>
      <c r="S163" t="s">
        <v>18</v>
      </c>
      <c r="T163" t="s">
        <v>18</v>
      </c>
    </row>
    <row r="164" spans="1:20">
      <c r="A164" t="str">
        <f t="shared" si="2"/>
        <v>NodeRed-16-000163</v>
      </c>
      <c r="B164" t="s">
        <v>18</v>
      </c>
      <c r="C164" s="3" t="s">
        <v>19</v>
      </c>
      <c r="D164" s="3" t="s">
        <v>20</v>
      </c>
      <c r="E164" s="3" t="s">
        <v>21</v>
      </c>
      <c r="F164" s="4" t="s">
        <v>22</v>
      </c>
      <c r="G164" s="3" t="s">
        <v>23</v>
      </c>
      <c r="H164" t="s">
        <v>764</v>
      </c>
      <c r="I164" t="s">
        <v>25</v>
      </c>
      <c r="J164" s="6">
        <v>46014</v>
      </c>
      <c r="K164" t="s">
        <v>765</v>
      </c>
      <c r="L164" t="s">
        <v>18</v>
      </c>
      <c r="M164" s="3" t="s">
        <v>27</v>
      </c>
      <c r="N164" t="s">
        <v>766</v>
      </c>
      <c r="O164" t="s">
        <v>18</v>
      </c>
      <c r="P164" t="s">
        <v>364</v>
      </c>
      <c r="Q164" t="s">
        <v>767</v>
      </c>
      <c r="S164" t="s">
        <v>18</v>
      </c>
      <c r="T164" t="s">
        <v>18</v>
      </c>
    </row>
    <row r="165" spans="1:20">
      <c r="A165" t="str">
        <f t="shared" si="2"/>
        <v>NodeRed-16-000164</v>
      </c>
      <c r="B165" t="s">
        <v>18</v>
      </c>
      <c r="C165" s="3" t="s">
        <v>19</v>
      </c>
      <c r="D165" s="3" t="s">
        <v>20</v>
      </c>
      <c r="E165" s="3" t="s">
        <v>21</v>
      </c>
      <c r="F165" s="4" t="s">
        <v>22</v>
      </c>
      <c r="G165" s="3" t="s">
        <v>23</v>
      </c>
      <c r="H165" t="s">
        <v>623</v>
      </c>
      <c r="I165" t="s">
        <v>25</v>
      </c>
      <c r="J165" s="6">
        <v>46014</v>
      </c>
      <c r="K165" t="s">
        <v>768</v>
      </c>
      <c r="L165" t="s">
        <v>18</v>
      </c>
      <c r="M165" s="3" t="s">
        <v>27</v>
      </c>
      <c r="N165" t="s">
        <v>769</v>
      </c>
      <c r="O165" t="s">
        <v>18</v>
      </c>
      <c r="P165" t="s">
        <v>49</v>
      </c>
      <c r="Q165" t="s">
        <v>770</v>
      </c>
      <c r="S165" t="s">
        <v>18</v>
      </c>
      <c r="T165" t="s">
        <v>18</v>
      </c>
    </row>
    <row r="166" spans="1:20">
      <c r="A166" t="str">
        <f t="shared" si="2"/>
        <v>NodeRed-16-000165</v>
      </c>
      <c r="B166" t="s">
        <v>18</v>
      </c>
      <c r="C166" s="3" t="s">
        <v>19</v>
      </c>
      <c r="D166" s="3" t="s">
        <v>20</v>
      </c>
      <c r="E166" s="3" t="s">
        <v>21</v>
      </c>
      <c r="F166" s="4" t="s">
        <v>22</v>
      </c>
      <c r="G166" s="3" t="s">
        <v>23</v>
      </c>
      <c r="H166" t="s">
        <v>771</v>
      </c>
      <c r="I166" t="s">
        <v>25</v>
      </c>
      <c r="J166" s="6">
        <v>46014</v>
      </c>
      <c r="K166" t="s">
        <v>772</v>
      </c>
      <c r="L166" t="s">
        <v>18</v>
      </c>
      <c r="M166" s="3" t="s">
        <v>27</v>
      </c>
      <c r="N166" t="s">
        <v>773</v>
      </c>
      <c r="O166" t="s">
        <v>18</v>
      </c>
      <c r="P166" t="s">
        <v>774</v>
      </c>
      <c r="Q166" t="s">
        <v>775</v>
      </c>
      <c r="S166" t="s">
        <v>18</v>
      </c>
      <c r="T166" t="s">
        <v>18</v>
      </c>
    </row>
    <row r="167" spans="1:20">
      <c r="A167" t="str">
        <f t="shared" si="2"/>
        <v>NodeRed-16-000166</v>
      </c>
      <c r="B167" t="s">
        <v>18</v>
      </c>
      <c r="C167" s="3" t="s">
        <v>19</v>
      </c>
      <c r="D167" s="3" t="s">
        <v>20</v>
      </c>
      <c r="E167" s="3" t="s">
        <v>21</v>
      </c>
      <c r="F167" s="4" t="s">
        <v>22</v>
      </c>
      <c r="G167" s="3" t="s">
        <v>23</v>
      </c>
      <c r="H167" t="s">
        <v>776</v>
      </c>
      <c r="I167" t="s">
        <v>25</v>
      </c>
      <c r="J167" s="6">
        <v>46014</v>
      </c>
      <c r="K167" t="s">
        <v>777</v>
      </c>
      <c r="L167" t="s">
        <v>18</v>
      </c>
      <c r="M167" s="3" t="s">
        <v>27</v>
      </c>
      <c r="N167" t="s">
        <v>778</v>
      </c>
      <c r="O167" t="s">
        <v>18</v>
      </c>
      <c r="P167" t="s">
        <v>229</v>
      </c>
      <c r="Q167" t="s">
        <v>779</v>
      </c>
      <c r="S167" t="s">
        <v>18</v>
      </c>
      <c r="T167" t="s">
        <v>18</v>
      </c>
    </row>
    <row r="168" spans="1:20">
      <c r="A168" t="str">
        <f t="shared" si="2"/>
        <v>NodeRed-16-000167</v>
      </c>
      <c r="B168" t="s">
        <v>18</v>
      </c>
      <c r="C168" s="3" t="s">
        <v>19</v>
      </c>
      <c r="D168" s="3" t="s">
        <v>20</v>
      </c>
      <c r="E168" s="3" t="s">
        <v>21</v>
      </c>
      <c r="F168" s="4" t="s">
        <v>22</v>
      </c>
      <c r="G168" s="3" t="s">
        <v>23</v>
      </c>
      <c r="H168" t="s">
        <v>780</v>
      </c>
      <c r="I168" t="s">
        <v>25</v>
      </c>
      <c r="J168" s="6">
        <v>46014</v>
      </c>
      <c r="K168" t="s">
        <v>781</v>
      </c>
      <c r="L168" t="s">
        <v>18</v>
      </c>
      <c r="M168" s="3" t="s">
        <v>27</v>
      </c>
      <c r="N168" t="s">
        <v>782</v>
      </c>
      <c r="O168" t="s">
        <v>18</v>
      </c>
      <c r="P168" t="s">
        <v>783</v>
      </c>
      <c r="Q168" t="s">
        <v>784</v>
      </c>
      <c r="S168" t="s">
        <v>18</v>
      </c>
      <c r="T168" t="s">
        <v>18</v>
      </c>
    </row>
    <row r="169" spans="1:20">
      <c r="A169" t="str">
        <f t="shared" si="2"/>
        <v>NodeRed-16-000168</v>
      </c>
      <c r="B169" t="s">
        <v>18</v>
      </c>
      <c r="C169" s="3" t="s">
        <v>19</v>
      </c>
      <c r="D169" s="3" t="s">
        <v>20</v>
      </c>
      <c r="E169" s="3" t="s">
        <v>21</v>
      </c>
      <c r="F169" s="4" t="s">
        <v>22</v>
      </c>
      <c r="G169" s="3" t="s">
        <v>23</v>
      </c>
      <c r="H169" t="s">
        <v>785</v>
      </c>
      <c r="I169" t="s">
        <v>25</v>
      </c>
      <c r="J169" s="6">
        <v>46014</v>
      </c>
      <c r="K169" t="s">
        <v>786</v>
      </c>
      <c r="L169" t="s">
        <v>18</v>
      </c>
      <c r="M169" s="3" t="s">
        <v>27</v>
      </c>
      <c r="N169" t="s">
        <v>787</v>
      </c>
      <c r="O169" t="s">
        <v>18</v>
      </c>
      <c r="P169" t="s">
        <v>788</v>
      </c>
      <c r="Q169" t="s">
        <v>789</v>
      </c>
      <c r="S169" t="s">
        <v>18</v>
      </c>
      <c r="T169" t="s">
        <v>18</v>
      </c>
    </row>
    <row r="170" spans="1:20">
      <c r="A170" t="str">
        <f t="shared" si="2"/>
        <v>NodeRed-16-000169</v>
      </c>
      <c r="B170" t="s">
        <v>18</v>
      </c>
      <c r="C170" s="3" t="s">
        <v>19</v>
      </c>
      <c r="D170" s="3" t="s">
        <v>20</v>
      </c>
      <c r="E170" s="3" t="s">
        <v>21</v>
      </c>
      <c r="F170" s="4" t="s">
        <v>22</v>
      </c>
      <c r="G170" s="3" t="s">
        <v>23</v>
      </c>
      <c r="H170" t="s">
        <v>790</v>
      </c>
      <c r="I170" t="s">
        <v>25</v>
      </c>
      <c r="J170" s="6">
        <v>46014</v>
      </c>
      <c r="K170" t="s">
        <v>791</v>
      </c>
      <c r="L170" t="s">
        <v>18</v>
      </c>
      <c r="M170" s="3" t="s">
        <v>27</v>
      </c>
      <c r="N170" t="s">
        <v>792</v>
      </c>
      <c r="O170" t="s">
        <v>18</v>
      </c>
      <c r="P170" t="s">
        <v>29</v>
      </c>
      <c r="Q170" t="s">
        <v>793</v>
      </c>
      <c r="S170" t="s">
        <v>18</v>
      </c>
      <c r="T170" t="s">
        <v>18</v>
      </c>
    </row>
    <row r="171" spans="1:20">
      <c r="A171" t="str">
        <f t="shared" si="2"/>
        <v>NodeRed-16-000170</v>
      </c>
      <c r="B171" t="s">
        <v>18</v>
      </c>
      <c r="C171" s="3" t="s">
        <v>19</v>
      </c>
      <c r="D171" s="3" t="s">
        <v>20</v>
      </c>
      <c r="E171" s="3" t="s">
        <v>21</v>
      </c>
      <c r="F171" s="4" t="s">
        <v>22</v>
      </c>
      <c r="G171" s="3" t="s">
        <v>23</v>
      </c>
      <c r="H171" t="s">
        <v>794</v>
      </c>
      <c r="I171" t="s">
        <v>25</v>
      </c>
      <c r="J171" s="6">
        <v>46014</v>
      </c>
      <c r="K171" t="s">
        <v>795</v>
      </c>
      <c r="L171" t="s">
        <v>18</v>
      </c>
      <c r="M171" s="3" t="s">
        <v>27</v>
      </c>
      <c r="N171" t="s">
        <v>796</v>
      </c>
      <c r="O171" t="s">
        <v>18</v>
      </c>
      <c r="P171" t="s">
        <v>79</v>
      </c>
      <c r="Q171" t="s">
        <v>797</v>
      </c>
      <c r="S171" t="s">
        <v>18</v>
      </c>
      <c r="T171" t="s">
        <v>18</v>
      </c>
    </row>
    <row r="172" spans="1:20">
      <c r="A172" t="str">
        <f t="shared" si="2"/>
        <v>NodeRed-16-000171</v>
      </c>
      <c r="B172" t="s">
        <v>18</v>
      </c>
      <c r="C172" s="3" t="s">
        <v>19</v>
      </c>
      <c r="D172" s="3" t="s">
        <v>20</v>
      </c>
      <c r="E172" s="3" t="s">
        <v>21</v>
      </c>
      <c r="F172" s="4" t="s">
        <v>22</v>
      </c>
      <c r="G172" s="3" t="s">
        <v>23</v>
      </c>
      <c r="H172" t="s">
        <v>798</v>
      </c>
      <c r="I172" t="s">
        <v>25</v>
      </c>
      <c r="J172" s="6">
        <v>46014</v>
      </c>
      <c r="K172" t="s">
        <v>799</v>
      </c>
      <c r="L172" t="s">
        <v>18</v>
      </c>
      <c r="M172" s="3" t="s">
        <v>27</v>
      </c>
      <c r="N172" t="s">
        <v>800</v>
      </c>
      <c r="O172" t="s">
        <v>18</v>
      </c>
      <c r="P172" t="s">
        <v>801</v>
      </c>
      <c r="Q172" t="s">
        <v>802</v>
      </c>
      <c r="S172" t="s">
        <v>18</v>
      </c>
      <c r="T172" t="s">
        <v>18</v>
      </c>
    </row>
    <row r="173" spans="1:20">
      <c r="A173" t="str">
        <f t="shared" si="2"/>
        <v>NodeRed-16-000172</v>
      </c>
      <c r="B173" t="s">
        <v>18</v>
      </c>
      <c r="C173" s="3" t="s">
        <v>19</v>
      </c>
      <c r="D173" s="3" t="s">
        <v>20</v>
      </c>
      <c r="E173" s="3" t="s">
        <v>21</v>
      </c>
      <c r="F173" s="4" t="s">
        <v>22</v>
      </c>
      <c r="G173" s="3" t="s">
        <v>23</v>
      </c>
      <c r="H173" t="s">
        <v>803</v>
      </c>
      <c r="I173" t="s">
        <v>25</v>
      </c>
      <c r="J173" s="6">
        <v>46014</v>
      </c>
      <c r="K173" t="s">
        <v>804</v>
      </c>
      <c r="L173" t="s">
        <v>18</v>
      </c>
      <c r="M173" s="3" t="s">
        <v>27</v>
      </c>
      <c r="N173" t="s">
        <v>805</v>
      </c>
      <c r="O173" t="s">
        <v>18</v>
      </c>
      <c r="P173" t="s">
        <v>806</v>
      </c>
      <c r="Q173" t="s">
        <v>807</v>
      </c>
      <c r="S173" t="s">
        <v>18</v>
      </c>
      <c r="T173" t="s">
        <v>18</v>
      </c>
    </row>
    <row r="174" spans="1:20">
      <c r="A174" t="str">
        <f t="shared" si="2"/>
        <v>NodeRed-16-000173</v>
      </c>
      <c r="B174" t="s">
        <v>18</v>
      </c>
      <c r="C174" s="3" t="s">
        <v>19</v>
      </c>
      <c r="D174" s="3" t="s">
        <v>20</v>
      </c>
      <c r="E174" s="3" t="s">
        <v>21</v>
      </c>
      <c r="F174" s="4" t="s">
        <v>22</v>
      </c>
      <c r="G174" s="3" t="s">
        <v>23</v>
      </c>
      <c r="H174" t="s">
        <v>808</v>
      </c>
      <c r="I174" t="s">
        <v>25</v>
      </c>
      <c r="J174" s="6">
        <v>46014</v>
      </c>
      <c r="K174" t="s">
        <v>809</v>
      </c>
      <c r="L174" t="s">
        <v>18</v>
      </c>
      <c r="M174" s="3" t="s">
        <v>27</v>
      </c>
      <c r="N174" t="s">
        <v>810</v>
      </c>
      <c r="O174" t="s">
        <v>18</v>
      </c>
      <c r="P174" t="s">
        <v>479</v>
      </c>
      <c r="Q174" t="s">
        <v>811</v>
      </c>
      <c r="S174" t="s">
        <v>18</v>
      </c>
      <c r="T174" t="s">
        <v>18</v>
      </c>
    </row>
    <row r="175" spans="1:20">
      <c r="A175" t="str">
        <f t="shared" si="2"/>
        <v>NodeRed-16-000174</v>
      </c>
      <c r="B175" t="s">
        <v>18</v>
      </c>
      <c r="C175" s="3" t="s">
        <v>19</v>
      </c>
      <c r="D175" s="3" t="s">
        <v>20</v>
      </c>
      <c r="E175" s="3" t="s">
        <v>21</v>
      </c>
      <c r="F175" s="4" t="s">
        <v>22</v>
      </c>
      <c r="G175" s="3" t="s">
        <v>23</v>
      </c>
      <c r="H175" t="s">
        <v>812</v>
      </c>
      <c r="I175" t="s">
        <v>25</v>
      </c>
      <c r="J175" s="6">
        <v>46014</v>
      </c>
      <c r="K175" t="s">
        <v>813</v>
      </c>
      <c r="L175" t="s">
        <v>18</v>
      </c>
      <c r="M175" s="3" t="s">
        <v>27</v>
      </c>
      <c r="N175" t="s">
        <v>814</v>
      </c>
      <c r="O175" t="s">
        <v>18</v>
      </c>
      <c r="P175" t="s">
        <v>815</v>
      </c>
      <c r="Q175" t="s">
        <v>816</v>
      </c>
      <c r="S175" t="s">
        <v>18</v>
      </c>
      <c r="T175" t="s">
        <v>18</v>
      </c>
    </row>
    <row r="176" spans="1:20">
      <c r="A176" t="str">
        <f t="shared" si="2"/>
        <v>NodeRed-16-000175</v>
      </c>
      <c r="B176" t="s">
        <v>18</v>
      </c>
      <c r="C176" s="3" t="s">
        <v>19</v>
      </c>
      <c r="D176" s="3" t="s">
        <v>20</v>
      </c>
      <c r="E176" s="3" t="s">
        <v>21</v>
      </c>
      <c r="F176" s="4" t="s">
        <v>22</v>
      </c>
      <c r="G176" s="3" t="s">
        <v>23</v>
      </c>
      <c r="H176" t="s">
        <v>817</v>
      </c>
      <c r="I176" t="s">
        <v>25</v>
      </c>
      <c r="J176" s="6">
        <v>46014</v>
      </c>
      <c r="K176" t="s">
        <v>818</v>
      </c>
      <c r="L176" t="s">
        <v>18</v>
      </c>
      <c r="M176" s="3" t="s">
        <v>27</v>
      </c>
      <c r="N176" t="s">
        <v>819</v>
      </c>
      <c r="O176" t="s">
        <v>18</v>
      </c>
      <c r="P176" t="s">
        <v>820</v>
      </c>
      <c r="Q176" t="s">
        <v>821</v>
      </c>
      <c r="S176" t="s">
        <v>18</v>
      </c>
      <c r="T176" t="s">
        <v>18</v>
      </c>
    </row>
    <row r="177" spans="1:20">
      <c r="A177" t="str">
        <f t="shared" si="2"/>
        <v>NodeRed-16-000176</v>
      </c>
      <c r="B177" t="s">
        <v>18</v>
      </c>
      <c r="C177" s="3" t="s">
        <v>19</v>
      </c>
      <c r="D177" s="3" t="s">
        <v>20</v>
      </c>
      <c r="E177" s="3" t="s">
        <v>21</v>
      </c>
      <c r="F177" s="4" t="s">
        <v>22</v>
      </c>
      <c r="G177" s="3" t="s">
        <v>23</v>
      </c>
      <c r="H177" t="s">
        <v>623</v>
      </c>
      <c r="I177" t="s">
        <v>25</v>
      </c>
      <c r="J177" s="6">
        <v>46014</v>
      </c>
      <c r="K177" t="s">
        <v>822</v>
      </c>
      <c r="L177" t="s">
        <v>18</v>
      </c>
      <c r="M177" s="3" t="s">
        <v>27</v>
      </c>
      <c r="N177" t="s">
        <v>823</v>
      </c>
      <c r="O177" t="s">
        <v>18</v>
      </c>
      <c r="P177" t="s">
        <v>824</v>
      </c>
      <c r="Q177" t="s">
        <v>825</v>
      </c>
      <c r="S177" t="s">
        <v>18</v>
      </c>
      <c r="T177" t="s">
        <v>18</v>
      </c>
    </row>
    <row r="178" spans="1:20">
      <c r="A178" t="str">
        <f t="shared" si="2"/>
        <v>NodeRed-16-000177</v>
      </c>
      <c r="B178" t="s">
        <v>18</v>
      </c>
      <c r="C178" s="3" t="s">
        <v>19</v>
      </c>
      <c r="D178" s="3" t="s">
        <v>20</v>
      </c>
      <c r="E178" s="3" t="s">
        <v>21</v>
      </c>
      <c r="F178" s="4" t="s">
        <v>22</v>
      </c>
      <c r="G178" s="3" t="s">
        <v>23</v>
      </c>
      <c r="H178" t="s">
        <v>826</v>
      </c>
      <c r="I178" t="s">
        <v>25</v>
      </c>
      <c r="J178" s="6">
        <v>46014</v>
      </c>
      <c r="K178" t="s">
        <v>827</v>
      </c>
      <c r="L178" t="s">
        <v>18</v>
      </c>
      <c r="M178" s="3" t="s">
        <v>27</v>
      </c>
      <c r="N178" t="s">
        <v>828</v>
      </c>
      <c r="O178" t="s">
        <v>18</v>
      </c>
      <c r="P178" t="s">
        <v>151</v>
      </c>
      <c r="Q178" t="s">
        <v>829</v>
      </c>
      <c r="S178" t="s">
        <v>18</v>
      </c>
      <c r="T178" t="s">
        <v>18</v>
      </c>
    </row>
    <row r="179" spans="1:20">
      <c r="A179" t="str">
        <f t="shared" si="2"/>
        <v>NodeRed-16-000178</v>
      </c>
      <c r="B179" t="s">
        <v>18</v>
      </c>
      <c r="C179" s="3" t="s">
        <v>19</v>
      </c>
      <c r="D179" s="3" t="s">
        <v>20</v>
      </c>
      <c r="E179" s="3" t="s">
        <v>21</v>
      </c>
      <c r="F179" s="4" t="s">
        <v>22</v>
      </c>
      <c r="G179" s="3" t="s">
        <v>23</v>
      </c>
      <c r="H179" t="s">
        <v>830</v>
      </c>
      <c r="I179" t="s">
        <v>25</v>
      </c>
      <c r="J179" s="6">
        <v>46014</v>
      </c>
      <c r="K179" t="s">
        <v>831</v>
      </c>
      <c r="L179" t="s">
        <v>18</v>
      </c>
      <c r="M179" s="3" t="s">
        <v>27</v>
      </c>
      <c r="N179" t="s">
        <v>832</v>
      </c>
      <c r="O179" t="s">
        <v>18</v>
      </c>
      <c r="P179" t="s">
        <v>364</v>
      </c>
      <c r="Q179" t="s">
        <v>833</v>
      </c>
      <c r="S179" t="s">
        <v>18</v>
      </c>
      <c r="T179" t="s">
        <v>18</v>
      </c>
    </row>
    <row r="180" spans="1:20">
      <c r="A180" t="str">
        <f t="shared" si="2"/>
        <v>NodeRed-16-000179</v>
      </c>
      <c r="B180" t="s">
        <v>18</v>
      </c>
      <c r="C180" s="3" t="s">
        <v>19</v>
      </c>
      <c r="D180" s="3" t="s">
        <v>20</v>
      </c>
      <c r="E180" s="3" t="s">
        <v>21</v>
      </c>
      <c r="F180" s="4" t="s">
        <v>22</v>
      </c>
      <c r="G180" s="3" t="s">
        <v>23</v>
      </c>
      <c r="H180" t="s">
        <v>834</v>
      </c>
      <c r="I180" t="s">
        <v>25</v>
      </c>
      <c r="J180" s="6">
        <v>46014</v>
      </c>
      <c r="K180" t="s">
        <v>835</v>
      </c>
      <c r="L180" t="s">
        <v>18</v>
      </c>
      <c r="M180" s="3" t="s">
        <v>27</v>
      </c>
      <c r="N180" t="s">
        <v>836</v>
      </c>
      <c r="O180" t="s">
        <v>18</v>
      </c>
      <c r="P180" t="s">
        <v>427</v>
      </c>
      <c r="Q180" t="s">
        <v>837</v>
      </c>
      <c r="S180" t="s">
        <v>18</v>
      </c>
      <c r="T180" t="s">
        <v>18</v>
      </c>
    </row>
    <row r="181" spans="1:20">
      <c r="A181" t="str">
        <f t="shared" si="2"/>
        <v>NodeRed-16-000180</v>
      </c>
      <c r="B181" t="s">
        <v>18</v>
      </c>
      <c r="C181" s="3" t="s">
        <v>19</v>
      </c>
      <c r="D181" s="3" t="s">
        <v>20</v>
      </c>
      <c r="E181" s="3" t="s">
        <v>21</v>
      </c>
      <c r="F181" s="4" t="s">
        <v>22</v>
      </c>
      <c r="G181" s="3" t="s">
        <v>23</v>
      </c>
      <c r="H181" t="s">
        <v>838</v>
      </c>
      <c r="I181" t="s">
        <v>25</v>
      </c>
      <c r="J181" s="6">
        <v>46014</v>
      </c>
      <c r="K181" t="s">
        <v>839</v>
      </c>
      <c r="L181" t="s">
        <v>18</v>
      </c>
      <c r="M181" s="3" t="s">
        <v>27</v>
      </c>
      <c r="N181" t="s">
        <v>840</v>
      </c>
      <c r="O181" t="s">
        <v>18</v>
      </c>
      <c r="P181" t="s">
        <v>841</v>
      </c>
      <c r="Q181" t="s">
        <v>842</v>
      </c>
      <c r="S181" t="s">
        <v>18</v>
      </c>
      <c r="T181" t="s">
        <v>18</v>
      </c>
    </row>
    <row r="182" spans="1:20">
      <c r="A182" t="str">
        <f t="shared" si="2"/>
        <v>NodeRed-16-000181</v>
      </c>
      <c r="B182" t="s">
        <v>18</v>
      </c>
      <c r="C182" s="3" t="s">
        <v>19</v>
      </c>
      <c r="D182" s="3" t="s">
        <v>20</v>
      </c>
      <c r="E182" s="3" t="s">
        <v>21</v>
      </c>
      <c r="F182" s="4" t="s">
        <v>22</v>
      </c>
      <c r="G182" s="3" t="s">
        <v>23</v>
      </c>
      <c r="H182" t="s">
        <v>577</v>
      </c>
      <c r="I182" t="s">
        <v>25</v>
      </c>
      <c r="J182" s="6">
        <v>46014</v>
      </c>
      <c r="K182" t="s">
        <v>843</v>
      </c>
      <c r="L182" t="s">
        <v>18</v>
      </c>
      <c r="M182" s="3" t="s">
        <v>27</v>
      </c>
      <c r="N182" t="s">
        <v>844</v>
      </c>
      <c r="O182" t="s">
        <v>18</v>
      </c>
      <c r="P182" t="s">
        <v>296</v>
      </c>
      <c r="Q182" t="s">
        <v>845</v>
      </c>
      <c r="S182" t="s">
        <v>18</v>
      </c>
      <c r="T182" t="s">
        <v>18</v>
      </c>
    </row>
    <row r="183" spans="1:20">
      <c r="A183" t="str">
        <f t="shared" si="2"/>
        <v>NodeRed-16-000182</v>
      </c>
      <c r="B183" t="s">
        <v>18</v>
      </c>
      <c r="C183" s="3" t="s">
        <v>19</v>
      </c>
      <c r="D183" s="3" t="s">
        <v>20</v>
      </c>
      <c r="E183" s="3" t="s">
        <v>21</v>
      </c>
      <c r="F183" s="4" t="s">
        <v>22</v>
      </c>
      <c r="G183" s="3" t="s">
        <v>23</v>
      </c>
      <c r="H183" t="s">
        <v>846</v>
      </c>
      <c r="I183" t="s">
        <v>25</v>
      </c>
      <c r="J183" s="6">
        <v>46014</v>
      </c>
      <c r="K183" t="s">
        <v>847</v>
      </c>
      <c r="L183" t="s">
        <v>18</v>
      </c>
      <c r="M183" s="3" t="s">
        <v>27</v>
      </c>
      <c r="N183" t="s">
        <v>848</v>
      </c>
      <c r="O183" t="s">
        <v>18</v>
      </c>
      <c r="P183" t="s">
        <v>849</v>
      </c>
      <c r="Q183" t="s">
        <v>850</v>
      </c>
      <c r="S183" t="s">
        <v>18</v>
      </c>
      <c r="T183" t="s">
        <v>18</v>
      </c>
    </row>
    <row r="184" spans="1:20">
      <c r="A184" t="str">
        <f t="shared" si="2"/>
        <v>NodeRed-16-000183</v>
      </c>
      <c r="B184" t="s">
        <v>18</v>
      </c>
      <c r="C184" s="3" t="s">
        <v>19</v>
      </c>
      <c r="D184" s="3" t="s">
        <v>20</v>
      </c>
      <c r="E184" s="3" t="s">
        <v>21</v>
      </c>
      <c r="F184" s="4" t="s">
        <v>22</v>
      </c>
      <c r="G184" s="3" t="s">
        <v>23</v>
      </c>
      <c r="H184" t="s">
        <v>119</v>
      </c>
      <c r="I184" t="s">
        <v>25</v>
      </c>
      <c r="J184" s="6">
        <v>46014</v>
      </c>
      <c r="K184" t="s">
        <v>851</v>
      </c>
      <c r="L184" t="s">
        <v>18</v>
      </c>
      <c r="M184" s="3" t="s">
        <v>27</v>
      </c>
      <c r="N184" t="s">
        <v>852</v>
      </c>
      <c r="O184" t="s">
        <v>18</v>
      </c>
      <c r="P184" t="s">
        <v>122</v>
      </c>
      <c r="Q184" t="s">
        <v>853</v>
      </c>
      <c r="S184" t="s">
        <v>18</v>
      </c>
      <c r="T184" t="s">
        <v>18</v>
      </c>
    </row>
    <row r="185" spans="1:20">
      <c r="A185" t="str">
        <f t="shared" si="2"/>
        <v>NodeRed-16-000184</v>
      </c>
      <c r="B185" t="s">
        <v>18</v>
      </c>
      <c r="C185" s="3" t="s">
        <v>19</v>
      </c>
      <c r="D185" s="3" t="s">
        <v>20</v>
      </c>
      <c r="E185" s="3" t="s">
        <v>21</v>
      </c>
      <c r="F185" s="4" t="s">
        <v>22</v>
      </c>
      <c r="G185" s="3" t="s">
        <v>23</v>
      </c>
      <c r="H185" t="s">
        <v>854</v>
      </c>
      <c r="I185" t="s">
        <v>25</v>
      </c>
      <c r="J185" s="6">
        <v>46014</v>
      </c>
      <c r="K185" t="s">
        <v>855</v>
      </c>
      <c r="L185" t="s">
        <v>18</v>
      </c>
      <c r="M185" s="3" t="s">
        <v>27</v>
      </c>
      <c r="N185" t="s">
        <v>856</v>
      </c>
      <c r="O185" t="s">
        <v>18</v>
      </c>
      <c r="P185" t="s">
        <v>64</v>
      </c>
      <c r="Q185" t="s">
        <v>857</v>
      </c>
      <c r="S185" t="s">
        <v>18</v>
      </c>
      <c r="T185" t="s">
        <v>18</v>
      </c>
    </row>
    <row r="186" spans="1:20">
      <c r="A186" t="str">
        <f t="shared" si="2"/>
        <v>NodeRed-16-000185</v>
      </c>
      <c r="B186" t="s">
        <v>18</v>
      </c>
      <c r="C186" s="3" t="s">
        <v>19</v>
      </c>
      <c r="D186" s="3" t="s">
        <v>20</v>
      </c>
      <c r="E186" s="3" t="s">
        <v>21</v>
      </c>
      <c r="F186" s="4" t="s">
        <v>22</v>
      </c>
      <c r="G186" s="3" t="s">
        <v>23</v>
      </c>
      <c r="H186" t="s">
        <v>858</v>
      </c>
      <c r="I186" t="s">
        <v>25</v>
      </c>
      <c r="J186" s="6">
        <v>46014</v>
      </c>
      <c r="K186" t="s">
        <v>859</v>
      </c>
      <c r="L186" t="s">
        <v>18</v>
      </c>
      <c r="M186" s="3" t="s">
        <v>27</v>
      </c>
      <c r="N186" t="s">
        <v>860</v>
      </c>
      <c r="O186" t="s">
        <v>18</v>
      </c>
      <c r="P186" t="s">
        <v>861</v>
      </c>
      <c r="Q186" t="s">
        <v>862</v>
      </c>
      <c r="S186" t="s">
        <v>18</v>
      </c>
      <c r="T186" t="s">
        <v>18</v>
      </c>
    </row>
    <row r="187" spans="1:20">
      <c r="A187" t="str">
        <f t="shared" si="2"/>
        <v>NodeRed-16-000186</v>
      </c>
      <c r="B187" t="s">
        <v>18</v>
      </c>
      <c r="C187" s="3" t="s">
        <v>19</v>
      </c>
      <c r="D187" s="3" t="s">
        <v>20</v>
      </c>
      <c r="E187" s="3" t="s">
        <v>21</v>
      </c>
      <c r="F187" s="4" t="s">
        <v>22</v>
      </c>
      <c r="G187" s="3" t="s">
        <v>23</v>
      </c>
      <c r="H187" t="s">
        <v>481</v>
      </c>
      <c r="I187" t="s">
        <v>25</v>
      </c>
      <c r="J187" s="6">
        <v>46014</v>
      </c>
      <c r="K187" t="s">
        <v>863</v>
      </c>
      <c r="L187" t="s">
        <v>18</v>
      </c>
      <c r="M187" s="3" t="s">
        <v>27</v>
      </c>
      <c r="N187" t="s">
        <v>864</v>
      </c>
      <c r="O187" t="s">
        <v>18</v>
      </c>
      <c r="P187" t="s">
        <v>59</v>
      </c>
      <c r="Q187" t="s">
        <v>865</v>
      </c>
      <c r="S187" t="s">
        <v>18</v>
      </c>
      <c r="T187" t="s">
        <v>18</v>
      </c>
    </row>
    <row r="188" spans="1:20">
      <c r="A188" t="str">
        <f t="shared" si="2"/>
        <v>NodeRed-16-000187</v>
      </c>
      <c r="B188" t="s">
        <v>18</v>
      </c>
      <c r="C188" s="3" t="s">
        <v>19</v>
      </c>
      <c r="D188" s="3" t="s">
        <v>20</v>
      </c>
      <c r="E188" s="3" t="s">
        <v>21</v>
      </c>
      <c r="F188" s="4" t="s">
        <v>22</v>
      </c>
      <c r="G188" s="3" t="s">
        <v>23</v>
      </c>
      <c r="H188" t="s">
        <v>866</v>
      </c>
      <c r="I188" t="s">
        <v>25</v>
      </c>
      <c r="J188" s="6">
        <v>46014</v>
      </c>
      <c r="K188" t="s">
        <v>867</v>
      </c>
      <c r="L188" t="s">
        <v>18</v>
      </c>
      <c r="M188" s="3" t="s">
        <v>27</v>
      </c>
      <c r="N188" t="s">
        <v>868</v>
      </c>
      <c r="O188" t="s">
        <v>18</v>
      </c>
      <c r="P188" t="s">
        <v>502</v>
      </c>
      <c r="Q188" t="s">
        <v>869</v>
      </c>
      <c r="S188" t="s">
        <v>18</v>
      </c>
      <c r="T188" t="s">
        <v>18</v>
      </c>
    </row>
    <row r="189" spans="1:20">
      <c r="A189" t="str">
        <f t="shared" si="2"/>
        <v>NodeRed-16-000188</v>
      </c>
      <c r="B189" t="s">
        <v>18</v>
      </c>
      <c r="C189" s="3" t="s">
        <v>19</v>
      </c>
      <c r="D189" s="3" t="s">
        <v>20</v>
      </c>
      <c r="E189" s="3" t="s">
        <v>21</v>
      </c>
      <c r="F189" s="4" t="s">
        <v>22</v>
      </c>
      <c r="G189" s="3" t="s">
        <v>23</v>
      </c>
      <c r="H189" t="s">
        <v>870</v>
      </c>
      <c r="I189" t="s">
        <v>25</v>
      </c>
      <c r="J189" s="6">
        <v>46014</v>
      </c>
      <c r="K189" t="s">
        <v>871</v>
      </c>
      <c r="L189" t="s">
        <v>18</v>
      </c>
      <c r="M189" s="3" t="s">
        <v>27</v>
      </c>
      <c r="N189" t="s">
        <v>872</v>
      </c>
      <c r="O189" t="s">
        <v>18</v>
      </c>
      <c r="P189" t="s">
        <v>49</v>
      </c>
      <c r="Q189" t="s">
        <v>873</v>
      </c>
      <c r="S189" t="s">
        <v>18</v>
      </c>
      <c r="T189" t="s">
        <v>18</v>
      </c>
    </row>
    <row r="190" spans="1:20">
      <c r="A190" t="str">
        <f t="shared" si="2"/>
        <v>NodeRed-16-000189</v>
      </c>
      <c r="B190" t="s">
        <v>18</v>
      </c>
      <c r="C190" s="3" t="s">
        <v>19</v>
      </c>
      <c r="D190" s="3" t="s">
        <v>20</v>
      </c>
      <c r="E190" s="3" t="s">
        <v>21</v>
      </c>
      <c r="F190" s="4" t="s">
        <v>22</v>
      </c>
      <c r="G190" s="3" t="s">
        <v>23</v>
      </c>
      <c r="H190" t="s">
        <v>874</v>
      </c>
      <c r="I190" t="s">
        <v>25</v>
      </c>
      <c r="J190" s="6">
        <v>46014</v>
      </c>
      <c r="K190" t="s">
        <v>875</v>
      </c>
      <c r="L190" t="s">
        <v>18</v>
      </c>
      <c r="M190" s="3" t="s">
        <v>27</v>
      </c>
      <c r="N190" t="s">
        <v>876</v>
      </c>
      <c r="O190" t="s">
        <v>18</v>
      </c>
      <c r="P190" t="s">
        <v>877</v>
      </c>
      <c r="Q190" t="s">
        <v>878</v>
      </c>
      <c r="S190" t="s">
        <v>18</v>
      </c>
      <c r="T190" t="s">
        <v>18</v>
      </c>
    </row>
    <row r="191" spans="1:20">
      <c r="A191" t="str">
        <f t="shared" si="2"/>
        <v>NodeRed-16-000190</v>
      </c>
      <c r="B191" t="s">
        <v>18</v>
      </c>
      <c r="C191" s="3" t="s">
        <v>19</v>
      </c>
      <c r="D191" s="3" t="s">
        <v>20</v>
      </c>
      <c r="E191" s="3" t="s">
        <v>21</v>
      </c>
      <c r="F191" s="4" t="s">
        <v>22</v>
      </c>
      <c r="G191" s="3" t="s">
        <v>23</v>
      </c>
      <c r="H191" t="s">
        <v>879</v>
      </c>
      <c r="I191" t="s">
        <v>25</v>
      </c>
      <c r="J191" s="6">
        <v>46014</v>
      </c>
      <c r="K191" t="s">
        <v>880</v>
      </c>
      <c r="L191" t="s">
        <v>18</v>
      </c>
      <c r="M191" s="3" t="s">
        <v>27</v>
      </c>
      <c r="N191" t="s">
        <v>881</v>
      </c>
      <c r="O191" t="s">
        <v>18</v>
      </c>
      <c r="P191" t="s">
        <v>882</v>
      </c>
      <c r="Q191" t="s">
        <v>883</v>
      </c>
      <c r="S191" t="s">
        <v>18</v>
      </c>
      <c r="T191" t="s">
        <v>18</v>
      </c>
    </row>
    <row r="192" spans="1:20">
      <c r="A192" t="str">
        <f t="shared" si="2"/>
        <v>NodeRed-16-000191</v>
      </c>
      <c r="B192" t="s">
        <v>18</v>
      </c>
      <c r="C192" s="3" t="s">
        <v>19</v>
      </c>
      <c r="D192" s="3" t="s">
        <v>20</v>
      </c>
      <c r="E192" s="3" t="s">
        <v>21</v>
      </c>
      <c r="F192" s="4" t="s">
        <v>22</v>
      </c>
      <c r="G192" s="3" t="s">
        <v>23</v>
      </c>
      <c r="H192" t="s">
        <v>884</v>
      </c>
      <c r="I192" t="s">
        <v>25</v>
      </c>
      <c r="J192" s="6">
        <v>46014</v>
      </c>
      <c r="K192" t="s">
        <v>885</v>
      </c>
      <c r="L192" t="s">
        <v>18</v>
      </c>
      <c r="M192" s="3" t="s">
        <v>27</v>
      </c>
      <c r="N192" t="s">
        <v>886</v>
      </c>
      <c r="O192" t="s">
        <v>18</v>
      </c>
      <c r="P192" t="s">
        <v>887</v>
      </c>
      <c r="Q192" t="s">
        <v>888</v>
      </c>
      <c r="S192" t="s">
        <v>18</v>
      </c>
      <c r="T192" t="s">
        <v>18</v>
      </c>
    </row>
    <row r="193" spans="1:20">
      <c r="A193" t="str">
        <f t="shared" si="2"/>
        <v>NodeRed-16-000192</v>
      </c>
      <c r="B193" t="s">
        <v>18</v>
      </c>
      <c r="C193" s="3" t="s">
        <v>19</v>
      </c>
      <c r="D193" s="3" t="s">
        <v>20</v>
      </c>
      <c r="E193" s="3" t="s">
        <v>21</v>
      </c>
      <c r="F193" s="4" t="s">
        <v>22</v>
      </c>
      <c r="G193" s="3" t="s">
        <v>23</v>
      </c>
      <c r="H193" t="s">
        <v>889</v>
      </c>
      <c r="I193" t="s">
        <v>25</v>
      </c>
      <c r="J193" s="6">
        <v>46014</v>
      </c>
      <c r="K193" t="s">
        <v>890</v>
      </c>
      <c r="L193" t="s">
        <v>18</v>
      </c>
      <c r="M193" s="3" t="s">
        <v>27</v>
      </c>
      <c r="N193" t="s">
        <v>891</v>
      </c>
      <c r="O193" t="s">
        <v>18</v>
      </c>
      <c r="P193" t="s">
        <v>892</v>
      </c>
      <c r="Q193" t="s">
        <v>893</v>
      </c>
      <c r="S193" t="s">
        <v>18</v>
      </c>
      <c r="T193" t="s">
        <v>18</v>
      </c>
    </row>
    <row r="194" spans="1:20">
      <c r="A194" t="str">
        <f t="shared" ref="A194:A257" si="3">_xlfn.CONCAT("NodeRed-16-",TEXT(ROW()-1,"000000"))</f>
        <v>NodeRed-16-000193</v>
      </c>
      <c r="B194" t="s">
        <v>18</v>
      </c>
      <c r="C194" s="3" t="s">
        <v>19</v>
      </c>
      <c r="D194" s="3" t="s">
        <v>20</v>
      </c>
      <c r="E194" s="3" t="s">
        <v>21</v>
      </c>
      <c r="F194" s="4" t="s">
        <v>22</v>
      </c>
      <c r="G194" s="3" t="s">
        <v>23</v>
      </c>
      <c r="H194" t="s">
        <v>894</v>
      </c>
      <c r="I194" t="s">
        <v>25</v>
      </c>
      <c r="J194" s="6">
        <v>46014</v>
      </c>
      <c r="K194" t="s">
        <v>895</v>
      </c>
      <c r="L194" t="s">
        <v>18</v>
      </c>
      <c r="M194" s="3" t="s">
        <v>27</v>
      </c>
      <c r="N194" t="s">
        <v>896</v>
      </c>
      <c r="O194" t="s">
        <v>18</v>
      </c>
      <c r="P194" t="s">
        <v>897</v>
      </c>
      <c r="Q194" t="s">
        <v>898</v>
      </c>
      <c r="S194" t="s">
        <v>18</v>
      </c>
      <c r="T194" t="s">
        <v>18</v>
      </c>
    </row>
    <row r="195" spans="1:20">
      <c r="A195" t="str">
        <f t="shared" si="3"/>
        <v>NodeRed-16-000194</v>
      </c>
      <c r="B195" t="s">
        <v>18</v>
      </c>
      <c r="C195" s="3" t="s">
        <v>19</v>
      </c>
      <c r="D195" s="3" t="s">
        <v>20</v>
      </c>
      <c r="E195" s="3" t="s">
        <v>21</v>
      </c>
      <c r="F195" s="4" t="s">
        <v>22</v>
      </c>
      <c r="G195" s="3" t="s">
        <v>23</v>
      </c>
      <c r="H195" t="s">
        <v>899</v>
      </c>
      <c r="I195" t="s">
        <v>25</v>
      </c>
      <c r="J195" s="6">
        <v>46014</v>
      </c>
      <c r="K195" t="s">
        <v>900</v>
      </c>
      <c r="L195" t="s">
        <v>18</v>
      </c>
      <c r="M195" s="3" t="s">
        <v>27</v>
      </c>
      <c r="N195" t="s">
        <v>901</v>
      </c>
      <c r="O195" t="s">
        <v>18</v>
      </c>
      <c r="P195" t="s">
        <v>902</v>
      </c>
      <c r="Q195" t="s">
        <v>903</v>
      </c>
      <c r="S195" t="s">
        <v>18</v>
      </c>
      <c r="T195" t="s">
        <v>18</v>
      </c>
    </row>
    <row r="196" spans="1:20">
      <c r="A196" t="str">
        <f t="shared" si="3"/>
        <v>NodeRed-16-000195</v>
      </c>
      <c r="B196" t="s">
        <v>18</v>
      </c>
      <c r="C196" s="3" t="s">
        <v>19</v>
      </c>
      <c r="D196" s="3" t="s">
        <v>20</v>
      </c>
      <c r="E196" s="3" t="s">
        <v>21</v>
      </c>
      <c r="F196" s="4" t="s">
        <v>22</v>
      </c>
      <c r="G196" s="3" t="s">
        <v>23</v>
      </c>
      <c r="H196" t="s">
        <v>904</v>
      </c>
      <c r="I196" t="s">
        <v>25</v>
      </c>
      <c r="J196" s="6">
        <v>46014</v>
      </c>
      <c r="K196" t="s">
        <v>905</v>
      </c>
      <c r="L196" t="s">
        <v>18</v>
      </c>
      <c r="M196" s="3" t="s">
        <v>27</v>
      </c>
      <c r="N196" t="s">
        <v>906</v>
      </c>
      <c r="O196" t="s">
        <v>18</v>
      </c>
      <c r="P196" t="s">
        <v>181</v>
      </c>
      <c r="Q196" t="s">
        <v>907</v>
      </c>
      <c r="S196" t="s">
        <v>18</v>
      </c>
      <c r="T196" t="s">
        <v>18</v>
      </c>
    </row>
    <row r="197" spans="1:20">
      <c r="A197" t="str">
        <f t="shared" si="3"/>
        <v>NodeRed-16-000196</v>
      </c>
      <c r="B197" t="s">
        <v>18</v>
      </c>
      <c r="C197" s="3" t="s">
        <v>19</v>
      </c>
      <c r="D197" s="3" t="s">
        <v>20</v>
      </c>
      <c r="E197" s="3" t="s">
        <v>21</v>
      </c>
      <c r="F197" s="4" t="s">
        <v>22</v>
      </c>
      <c r="G197" s="3" t="s">
        <v>23</v>
      </c>
      <c r="H197" t="s">
        <v>908</v>
      </c>
      <c r="I197" t="s">
        <v>25</v>
      </c>
      <c r="J197" s="6">
        <v>46014</v>
      </c>
      <c r="K197" t="s">
        <v>909</v>
      </c>
      <c r="L197" t="s">
        <v>18</v>
      </c>
      <c r="M197" s="3" t="s">
        <v>27</v>
      </c>
      <c r="N197" t="s">
        <v>910</v>
      </c>
      <c r="O197" t="s">
        <v>18</v>
      </c>
      <c r="P197" t="s">
        <v>229</v>
      </c>
      <c r="Q197" t="s">
        <v>911</v>
      </c>
      <c r="S197" t="s">
        <v>18</v>
      </c>
      <c r="T197" t="s">
        <v>18</v>
      </c>
    </row>
    <row r="198" spans="1:20">
      <c r="A198" t="str">
        <f t="shared" si="3"/>
        <v>NodeRed-16-000197</v>
      </c>
      <c r="B198" t="s">
        <v>18</v>
      </c>
      <c r="C198" s="3" t="s">
        <v>19</v>
      </c>
      <c r="D198" s="3" t="s">
        <v>20</v>
      </c>
      <c r="E198" s="3" t="s">
        <v>21</v>
      </c>
      <c r="F198" s="4" t="s">
        <v>22</v>
      </c>
      <c r="G198" s="3" t="s">
        <v>23</v>
      </c>
      <c r="H198" t="s">
        <v>912</v>
      </c>
      <c r="I198" t="s">
        <v>25</v>
      </c>
      <c r="J198" s="6">
        <v>46014</v>
      </c>
      <c r="K198" t="s">
        <v>913</v>
      </c>
      <c r="L198" t="s">
        <v>18</v>
      </c>
      <c r="M198" s="3" t="s">
        <v>27</v>
      </c>
      <c r="N198" t="s">
        <v>914</v>
      </c>
      <c r="O198" t="s">
        <v>18</v>
      </c>
      <c r="P198" t="s">
        <v>49</v>
      </c>
      <c r="Q198" t="s">
        <v>915</v>
      </c>
      <c r="S198" t="s">
        <v>18</v>
      </c>
      <c r="T198" t="s">
        <v>18</v>
      </c>
    </row>
    <row r="199" spans="1:20">
      <c r="A199" t="str">
        <f t="shared" si="3"/>
        <v>NodeRed-16-000198</v>
      </c>
      <c r="B199" t="s">
        <v>18</v>
      </c>
      <c r="C199" s="3" t="s">
        <v>19</v>
      </c>
      <c r="D199" s="3" t="s">
        <v>20</v>
      </c>
      <c r="E199" s="3" t="s">
        <v>21</v>
      </c>
      <c r="F199" s="4" t="s">
        <v>22</v>
      </c>
      <c r="G199" s="3" t="s">
        <v>23</v>
      </c>
      <c r="H199" t="s">
        <v>41</v>
      </c>
      <c r="I199" t="s">
        <v>25</v>
      </c>
      <c r="J199" s="6">
        <v>46014</v>
      </c>
      <c r="K199" t="s">
        <v>916</v>
      </c>
      <c r="L199" t="s">
        <v>18</v>
      </c>
      <c r="M199" s="3" t="s">
        <v>27</v>
      </c>
      <c r="N199" t="s">
        <v>917</v>
      </c>
      <c r="O199" t="s">
        <v>18</v>
      </c>
      <c r="P199" t="s">
        <v>918</v>
      </c>
      <c r="Q199" t="s">
        <v>919</v>
      </c>
      <c r="S199" t="s">
        <v>18</v>
      </c>
      <c r="T199" t="s">
        <v>18</v>
      </c>
    </row>
    <row r="200" spans="1:20">
      <c r="A200" t="str">
        <f t="shared" si="3"/>
        <v>NodeRed-16-000199</v>
      </c>
      <c r="B200" t="s">
        <v>18</v>
      </c>
      <c r="C200" s="3" t="s">
        <v>19</v>
      </c>
      <c r="D200" s="3" t="s">
        <v>20</v>
      </c>
      <c r="E200" s="3" t="s">
        <v>21</v>
      </c>
      <c r="F200" s="4" t="s">
        <v>22</v>
      </c>
      <c r="G200" s="3" t="s">
        <v>23</v>
      </c>
      <c r="H200" t="s">
        <v>920</v>
      </c>
      <c r="I200" t="s">
        <v>25</v>
      </c>
      <c r="J200" s="6">
        <v>46014</v>
      </c>
      <c r="K200" t="s">
        <v>921</v>
      </c>
      <c r="L200" t="s">
        <v>18</v>
      </c>
      <c r="M200" s="3" t="s">
        <v>27</v>
      </c>
      <c r="N200" t="s">
        <v>922</v>
      </c>
      <c r="O200" t="s">
        <v>18</v>
      </c>
      <c r="P200" t="s">
        <v>923</v>
      </c>
      <c r="Q200" t="s">
        <v>924</v>
      </c>
      <c r="S200" t="s">
        <v>18</v>
      </c>
      <c r="T200" t="s">
        <v>18</v>
      </c>
    </row>
    <row r="201" spans="1:20">
      <c r="A201" t="str">
        <f t="shared" si="3"/>
        <v>NodeRed-16-000200</v>
      </c>
      <c r="B201" t="s">
        <v>18</v>
      </c>
      <c r="C201" s="3" t="s">
        <v>19</v>
      </c>
      <c r="D201" s="3" t="s">
        <v>20</v>
      </c>
      <c r="E201" s="3" t="s">
        <v>21</v>
      </c>
      <c r="F201" s="4" t="s">
        <v>22</v>
      </c>
      <c r="G201" s="3" t="s">
        <v>23</v>
      </c>
      <c r="H201" t="s">
        <v>925</v>
      </c>
      <c r="I201" t="s">
        <v>25</v>
      </c>
      <c r="J201" s="6">
        <v>46014</v>
      </c>
      <c r="K201" t="s">
        <v>926</v>
      </c>
      <c r="L201" t="s">
        <v>18</v>
      </c>
      <c r="M201" s="3" t="s">
        <v>27</v>
      </c>
      <c r="N201" t="s">
        <v>927</v>
      </c>
      <c r="O201" t="s">
        <v>18</v>
      </c>
      <c r="P201" t="s">
        <v>928</v>
      </c>
      <c r="Q201" t="s">
        <v>929</v>
      </c>
      <c r="S201" t="s">
        <v>18</v>
      </c>
      <c r="T201" t="s">
        <v>18</v>
      </c>
    </row>
    <row r="202" spans="1:20">
      <c r="A202" t="str">
        <f t="shared" si="3"/>
        <v>NodeRed-16-000201</v>
      </c>
      <c r="B202" t="s">
        <v>18</v>
      </c>
      <c r="C202" s="3" t="s">
        <v>19</v>
      </c>
      <c r="D202" s="3" t="s">
        <v>20</v>
      </c>
      <c r="E202" s="3" t="s">
        <v>21</v>
      </c>
      <c r="F202" s="4" t="s">
        <v>22</v>
      </c>
      <c r="G202" s="3" t="s">
        <v>23</v>
      </c>
      <c r="H202" t="s">
        <v>930</v>
      </c>
      <c r="I202" t="s">
        <v>25</v>
      </c>
      <c r="J202" s="6">
        <v>46014</v>
      </c>
      <c r="K202" t="s">
        <v>931</v>
      </c>
      <c r="L202" t="s">
        <v>18</v>
      </c>
      <c r="M202" s="3" t="s">
        <v>27</v>
      </c>
      <c r="N202" t="s">
        <v>932</v>
      </c>
      <c r="O202" t="s">
        <v>18</v>
      </c>
      <c r="P202" t="s">
        <v>933</v>
      </c>
      <c r="Q202" t="s">
        <v>934</v>
      </c>
      <c r="S202" t="s">
        <v>18</v>
      </c>
      <c r="T202" t="s">
        <v>18</v>
      </c>
    </row>
    <row r="203" spans="1:20">
      <c r="A203" t="str">
        <f t="shared" si="3"/>
        <v>NodeRed-16-000202</v>
      </c>
      <c r="B203" t="s">
        <v>18</v>
      </c>
      <c r="C203" s="3" t="s">
        <v>19</v>
      </c>
      <c r="D203" s="3" t="s">
        <v>20</v>
      </c>
      <c r="E203" s="3" t="s">
        <v>21</v>
      </c>
      <c r="F203" s="4" t="s">
        <v>22</v>
      </c>
      <c r="G203" s="3" t="s">
        <v>23</v>
      </c>
      <c r="H203" t="s">
        <v>935</v>
      </c>
      <c r="I203" t="s">
        <v>25</v>
      </c>
      <c r="J203" s="6">
        <v>46014</v>
      </c>
      <c r="K203" t="s">
        <v>936</v>
      </c>
      <c r="L203" t="s">
        <v>18</v>
      </c>
      <c r="M203" s="3" t="s">
        <v>27</v>
      </c>
      <c r="N203" t="s">
        <v>937</v>
      </c>
      <c r="O203" t="s">
        <v>18</v>
      </c>
      <c r="P203" t="s">
        <v>29</v>
      </c>
      <c r="Q203" t="s">
        <v>938</v>
      </c>
      <c r="S203" t="s">
        <v>18</v>
      </c>
      <c r="T203" t="s">
        <v>18</v>
      </c>
    </row>
    <row r="204" spans="1:20">
      <c r="A204" t="str">
        <f t="shared" si="3"/>
        <v>NodeRed-16-000203</v>
      </c>
      <c r="B204" t="s">
        <v>18</v>
      </c>
      <c r="C204" s="3" t="s">
        <v>19</v>
      </c>
      <c r="D204" s="3" t="s">
        <v>20</v>
      </c>
      <c r="E204" s="3" t="s">
        <v>21</v>
      </c>
      <c r="F204" s="4" t="s">
        <v>22</v>
      </c>
      <c r="G204" s="3" t="s">
        <v>23</v>
      </c>
      <c r="H204" t="s">
        <v>939</v>
      </c>
      <c r="I204" t="s">
        <v>25</v>
      </c>
      <c r="J204" s="6">
        <v>46014</v>
      </c>
      <c r="K204" t="s">
        <v>940</v>
      </c>
      <c r="L204" t="s">
        <v>18</v>
      </c>
      <c r="M204" s="3" t="s">
        <v>27</v>
      </c>
      <c r="N204" t="s">
        <v>941</v>
      </c>
      <c r="O204" t="s">
        <v>18</v>
      </c>
      <c r="P204" t="s">
        <v>942</v>
      </c>
      <c r="Q204" t="s">
        <v>943</v>
      </c>
      <c r="S204" t="s">
        <v>18</v>
      </c>
      <c r="T204" t="s">
        <v>18</v>
      </c>
    </row>
    <row r="205" spans="1:20">
      <c r="A205" t="str">
        <f t="shared" si="3"/>
        <v>NodeRed-16-000204</v>
      </c>
      <c r="B205" t="s">
        <v>18</v>
      </c>
      <c r="C205" s="3" t="s">
        <v>19</v>
      </c>
      <c r="D205" s="3" t="s">
        <v>20</v>
      </c>
      <c r="E205" s="3" t="s">
        <v>21</v>
      </c>
      <c r="F205" s="4" t="s">
        <v>22</v>
      </c>
      <c r="G205" s="3" t="s">
        <v>23</v>
      </c>
      <c r="H205" t="s">
        <v>944</v>
      </c>
      <c r="I205" t="s">
        <v>25</v>
      </c>
      <c r="J205" s="6">
        <v>46014</v>
      </c>
      <c r="K205" t="s">
        <v>945</v>
      </c>
      <c r="L205" t="s">
        <v>18</v>
      </c>
      <c r="M205" s="3" t="s">
        <v>27</v>
      </c>
      <c r="N205" t="s">
        <v>946</v>
      </c>
      <c r="O205" t="s">
        <v>18</v>
      </c>
      <c r="P205" t="s">
        <v>151</v>
      </c>
      <c r="Q205" t="s">
        <v>947</v>
      </c>
      <c r="S205" t="s">
        <v>18</v>
      </c>
      <c r="T205" t="s">
        <v>18</v>
      </c>
    </row>
    <row r="206" spans="1:20">
      <c r="A206" t="str">
        <f t="shared" si="3"/>
        <v>NodeRed-16-000205</v>
      </c>
      <c r="B206" t="s">
        <v>18</v>
      </c>
      <c r="C206" s="3" t="s">
        <v>19</v>
      </c>
      <c r="D206" s="3" t="s">
        <v>20</v>
      </c>
      <c r="E206" s="3" t="s">
        <v>21</v>
      </c>
      <c r="F206" s="4" t="s">
        <v>22</v>
      </c>
      <c r="G206" s="3" t="s">
        <v>23</v>
      </c>
      <c r="H206" t="s">
        <v>948</v>
      </c>
      <c r="I206" t="s">
        <v>25</v>
      </c>
      <c r="J206" s="6">
        <v>46014</v>
      </c>
      <c r="K206" t="s">
        <v>949</v>
      </c>
      <c r="L206" t="s">
        <v>18</v>
      </c>
      <c r="M206" s="3" t="s">
        <v>27</v>
      </c>
      <c r="N206" t="s">
        <v>950</v>
      </c>
      <c r="O206" t="s">
        <v>18</v>
      </c>
      <c r="P206" t="s">
        <v>951</v>
      </c>
      <c r="Q206" t="s">
        <v>952</v>
      </c>
      <c r="S206" t="s">
        <v>18</v>
      </c>
      <c r="T206" t="s">
        <v>18</v>
      </c>
    </row>
    <row r="207" spans="1:20">
      <c r="A207" t="str">
        <f t="shared" si="3"/>
        <v>NodeRed-16-000206</v>
      </c>
      <c r="B207" t="s">
        <v>18</v>
      </c>
      <c r="C207" s="3" t="s">
        <v>19</v>
      </c>
      <c r="D207" s="3" t="s">
        <v>20</v>
      </c>
      <c r="E207" s="3" t="s">
        <v>21</v>
      </c>
      <c r="F207" s="4" t="s">
        <v>22</v>
      </c>
      <c r="G207" s="3" t="s">
        <v>23</v>
      </c>
      <c r="H207" t="s">
        <v>953</v>
      </c>
      <c r="I207" t="s">
        <v>25</v>
      </c>
      <c r="J207" s="6">
        <v>46014</v>
      </c>
      <c r="K207" t="s">
        <v>954</v>
      </c>
      <c r="L207" t="s">
        <v>18</v>
      </c>
      <c r="M207" s="3" t="s">
        <v>27</v>
      </c>
      <c r="N207" t="s">
        <v>955</v>
      </c>
      <c r="O207" t="s">
        <v>18</v>
      </c>
      <c r="P207" t="s">
        <v>956</v>
      </c>
      <c r="Q207" t="s">
        <v>957</v>
      </c>
      <c r="S207" t="s">
        <v>18</v>
      </c>
      <c r="T207" t="s">
        <v>18</v>
      </c>
    </row>
    <row r="208" spans="1:20">
      <c r="A208" t="str">
        <f t="shared" si="3"/>
        <v>NodeRed-16-000207</v>
      </c>
      <c r="B208" t="s">
        <v>18</v>
      </c>
      <c r="C208" s="3" t="s">
        <v>19</v>
      </c>
      <c r="D208" s="3" t="s">
        <v>20</v>
      </c>
      <c r="E208" s="3" t="s">
        <v>21</v>
      </c>
      <c r="F208" s="4" t="s">
        <v>22</v>
      </c>
      <c r="G208" s="3" t="s">
        <v>23</v>
      </c>
      <c r="H208" t="s">
        <v>958</v>
      </c>
      <c r="I208" t="s">
        <v>25</v>
      </c>
      <c r="J208" s="6">
        <v>46014</v>
      </c>
      <c r="K208" t="s">
        <v>959</v>
      </c>
      <c r="L208" t="s">
        <v>18</v>
      </c>
      <c r="M208" s="3" t="s">
        <v>27</v>
      </c>
      <c r="N208" t="s">
        <v>960</v>
      </c>
      <c r="O208" t="s">
        <v>18</v>
      </c>
      <c r="P208" t="s">
        <v>49</v>
      </c>
      <c r="Q208" t="s">
        <v>961</v>
      </c>
      <c r="S208" t="s">
        <v>18</v>
      </c>
      <c r="T208" t="s">
        <v>18</v>
      </c>
    </row>
    <row r="209" spans="1:20">
      <c r="A209" t="str">
        <f t="shared" si="3"/>
        <v>NodeRed-16-000208</v>
      </c>
      <c r="B209" t="s">
        <v>18</v>
      </c>
      <c r="C209" s="3" t="s">
        <v>19</v>
      </c>
      <c r="D209" s="3" t="s">
        <v>20</v>
      </c>
      <c r="E209" s="3" t="s">
        <v>21</v>
      </c>
      <c r="F209" s="4" t="s">
        <v>22</v>
      </c>
      <c r="G209" s="3" t="s">
        <v>23</v>
      </c>
      <c r="H209" t="s">
        <v>962</v>
      </c>
      <c r="I209" t="s">
        <v>25</v>
      </c>
      <c r="J209" s="6">
        <v>46014</v>
      </c>
      <c r="K209" t="s">
        <v>963</v>
      </c>
      <c r="L209" t="s">
        <v>18</v>
      </c>
      <c r="M209" s="3" t="s">
        <v>27</v>
      </c>
      <c r="N209" t="s">
        <v>964</v>
      </c>
      <c r="O209" t="s">
        <v>18</v>
      </c>
      <c r="P209" t="s">
        <v>965</v>
      </c>
      <c r="Q209" t="s">
        <v>966</v>
      </c>
      <c r="S209" t="s">
        <v>18</v>
      </c>
      <c r="T209" t="s">
        <v>18</v>
      </c>
    </row>
    <row r="210" spans="1:20">
      <c r="A210" t="str">
        <f t="shared" si="3"/>
        <v>NodeRed-16-000209</v>
      </c>
      <c r="B210" t="s">
        <v>18</v>
      </c>
      <c r="C210" s="3" t="s">
        <v>19</v>
      </c>
      <c r="D210" s="3" t="s">
        <v>20</v>
      </c>
      <c r="E210" s="3" t="s">
        <v>21</v>
      </c>
      <c r="F210" s="4" t="s">
        <v>22</v>
      </c>
      <c r="G210" s="3" t="s">
        <v>23</v>
      </c>
      <c r="H210" t="s">
        <v>967</v>
      </c>
      <c r="I210" t="s">
        <v>25</v>
      </c>
      <c r="J210" s="6">
        <v>46014</v>
      </c>
      <c r="K210" t="s">
        <v>968</v>
      </c>
      <c r="L210" t="s">
        <v>18</v>
      </c>
      <c r="M210" s="3" t="s">
        <v>27</v>
      </c>
      <c r="N210" t="s">
        <v>969</v>
      </c>
      <c r="O210" t="s">
        <v>18</v>
      </c>
      <c r="P210" t="s">
        <v>419</v>
      </c>
      <c r="Q210" t="s">
        <v>970</v>
      </c>
      <c r="S210" t="s">
        <v>18</v>
      </c>
      <c r="T210" t="s">
        <v>18</v>
      </c>
    </row>
    <row r="211" spans="1:20">
      <c r="A211" t="str">
        <f t="shared" si="3"/>
        <v>NodeRed-16-000210</v>
      </c>
      <c r="B211" t="s">
        <v>18</v>
      </c>
      <c r="C211" s="3" t="s">
        <v>19</v>
      </c>
      <c r="D211" s="3" t="s">
        <v>20</v>
      </c>
      <c r="E211" s="3" t="s">
        <v>21</v>
      </c>
      <c r="F211" s="4" t="s">
        <v>22</v>
      </c>
      <c r="G211" s="3" t="s">
        <v>23</v>
      </c>
      <c r="H211" t="s">
        <v>971</v>
      </c>
      <c r="I211" t="s">
        <v>25</v>
      </c>
      <c r="J211" s="6">
        <v>46014</v>
      </c>
      <c r="K211" t="s">
        <v>972</v>
      </c>
      <c r="L211" t="s">
        <v>18</v>
      </c>
      <c r="M211" s="3" t="s">
        <v>27</v>
      </c>
      <c r="N211" t="s">
        <v>973</v>
      </c>
      <c r="O211" t="s">
        <v>18</v>
      </c>
      <c r="P211" t="s">
        <v>974</v>
      </c>
      <c r="Q211" t="s">
        <v>975</v>
      </c>
      <c r="S211" t="s">
        <v>18</v>
      </c>
      <c r="T211" t="s">
        <v>18</v>
      </c>
    </row>
    <row r="212" spans="1:20">
      <c r="A212" t="str">
        <f t="shared" si="3"/>
        <v>NodeRed-16-000211</v>
      </c>
      <c r="B212" t="s">
        <v>18</v>
      </c>
      <c r="C212" s="3" t="s">
        <v>19</v>
      </c>
      <c r="D212" s="3" t="s">
        <v>20</v>
      </c>
      <c r="E212" s="3" t="s">
        <v>21</v>
      </c>
      <c r="F212" s="4" t="s">
        <v>22</v>
      </c>
      <c r="G212" s="3" t="s">
        <v>23</v>
      </c>
      <c r="H212" t="s">
        <v>976</v>
      </c>
      <c r="I212" t="s">
        <v>25</v>
      </c>
      <c r="J212" s="6">
        <v>46014</v>
      </c>
      <c r="K212" t="s">
        <v>977</v>
      </c>
      <c r="L212" t="s">
        <v>18</v>
      </c>
      <c r="M212" s="3" t="s">
        <v>27</v>
      </c>
      <c r="N212" t="s">
        <v>978</v>
      </c>
      <c r="O212" t="s">
        <v>18</v>
      </c>
      <c r="P212" t="s">
        <v>979</v>
      </c>
      <c r="Q212" t="s">
        <v>980</v>
      </c>
      <c r="S212" t="s">
        <v>18</v>
      </c>
      <c r="T212" t="s">
        <v>18</v>
      </c>
    </row>
    <row r="213" spans="1:20">
      <c r="A213" t="str">
        <f t="shared" si="3"/>
        <v>NodeRed-16-000212</v>
      </c>
      <c r="B213" t="s">
        <v>18</v>
      </c>
      <c r="C213" s="3" t="s">
        <v>19</v>
      </c>
      <c r="D213" s="3" t="s">
        <v>20</v>
      </c>
      <c r="E213" s="3" t="s">
        <v>21</v>
      </c>
      <c r="F213" s="4" t="s">
        <v>22</v>
      </c>
      <c r="G213" s="3" t="s">
        <v>23</v>
      </c>
      <c r="H213" t="s">
        <v>981</v>
      </c>
      <c r="I213" t="s">
        <v>25</v>
      </c>
      <c r="J213" s="6">
        <v>46014</v>
      </c>
      <c r="K213" t="s">
        <v>982</v>
      </c>
      <c r="L213" t="s">
        <v>18</v>
      </c>
      <c r="M213" s="3" t="s">
        <v>27</v>
      </c>
      <c r="N213" t="s">
        <v>983</v>
      </c>
      <c r="O213" t="s">
        <v>18</v>
      </c>
      <c r="P213" t="s">
        <v>984</v>
      </c>
      <c r="Q213" t="s">
        <v>985</v>
      </c>
      <c r="S213" t="s">
        <v>18</v>
      </c>
      <c r="T213" t="s">
        <v>18</v>
      </c>
    </row>
    <row r="214" spans="1:20">
      <c r="A214" t="str">
        <f t="shared" si="3"/>
        <v>NodeRed-16-000213</v>
      </c>
      <c r="B214" t="s">
        <v>18</v>
      </c>
      <c r="C214" s="3" t="s">
        <v>19</v>
      </c>
      <c r="D214" s="3" t="s">
        <v>20</v>
      </c>
      <c r="E214" s="3" t="s">
        <v>21</v>
      </c>
      <c r="F214" s="4" t="s">
        <v>22</v>
      </c>
      <c r="G214" s="3" t="s">
        <v>23</v>
      </c>
      <c r="H214" t="s">
        <v>623</v>
      </c>
      <c r="I214" t="s">
        <v>25</v>
      </c>
      <c r="J214" s="6">
        <v>46014</v>
      </c>
      <c r="K214" t="s">
        <v>986</v>
      </c>
      <c r="L214" t="s">
        <v>18</v>
      </c>
      <c r="M214" s="3" t="s">
        <v>27</v>
      </c>
      <c r="N214" t="s">
        <v>987</v>
      </c>
      <c r="O214" t="s">
        <v>18</v>
      </c>
      <c r="P214" t="s">
        <v>49</v>
      </c>
      <c r="Q214" t="s">
        <v>988</v>
      </c>
      <c r="S214" t="s">
        <v>18</v>
      </c>
      <c r="T214" t="s">
        <v>18</v>
      </c>
    </row>
    <row r="215" spans="1:20">
      <c r="A215" t="str">
        <f t="shared" si="3"/>
        <v>NodeRed-16-000214</v>
      </c>
      <c r="B215" t="s">
        <v>18</v>
      </c>
      <c r="C215" s="3" t="s">
        <v>19</v>
      </c>
      <c r="D215" s="3" t="s">
        <v>20</v>
      </c>
      <c r="E215" s="3" t="s">
        <v>21</v>
      </c>
      <c r="F215" s="4" t="s">
        <v>22</v>
      </c>
      <c r="G215" s="3" t="s">
        <v>23</v>
      </c>
      <c r="H215" t="s">
        <v>989</v>
      </c>
      <c r="I215" t="s">
        <v>25</v>
      </c>
      <c r="J215" s="6">
        <v>46014</v>
      </c>
      <c r="K215" t="s">
        <v>990</v>
      </c>
      <c r="L215" t="s">
        <v>18</v>
      </c>
      <c r="M215" s="3" t="s">
        <v>27</v>
      </c>
      <c r="N215" t="s">
        <v>991</v>
      </c>
      <c r="O215" t="s">
        <v>18</v>
      </c>
      <c r="P215" t="s">
        <v>992</v>
      </c>
      <c r="Q215" t="s">
        <v>993</v>
      </c>
      <c r="S215" t="s">
        <v>18</v>
      </c>
      <c r="T215" t="s">
        <v>18</v>
      </c>
    </row>
    <row r="216" spans="1:20">
      <c r="A216" t="str">
        <f t="shared" si="3"/>
        <v>NodeRed-16-000215</v>
      </c>
      <c r="B216" t="s">
        <v>18</v>
      </c>
      <c r="C216" s="3" t="s">
        <v>19</v>
      </c>
      <c r="D216" s="3" t="s">
        <v>20</v>
      </c>
      <c r="E216" s="3" t="s">
        <v>21</v>
      </c>
      <c r="F216" s="4" t="s">
        <v>22</v>
      </c>
      <c r="G216" s="3" t="s">
        <v>23</v>
      </c>
      <c r="H216" t="s">
        <v>504</v>
      </c>
      <c r="I216" t="s">
        <v>25</v>
      </c>
      <c r="J216" s="6">
        <v>46014</v>
      </c>
      <c r="K216" t="s">
        <v>994</v>
      </c>
      <c r="L216" t="s">
        <v>18</v>
      </c>
      <c r="M216" s="3" t="s">
        <v>27</v>
      </c>
      <c r="N216" t="s">
        <v>995</v>
      </c>
      <c r="O216" t="s">
        <v>18</v>
      </c>
      <c r="P216" t="s">
        <v>996</v>
      </c>
      <c r="Q216" t="s">
        <v>997</v>
      </c>
      <c r="S216" t="s">
        <v>18</v>
      </c>
      <c r="T216" t="s">
        <v>18</v>
      </c>
    </row>
    <row r="217" spans="1:20">
      <c r="A217" t="str">
        <f t="shared" si="3"/>
        <v>NodeRed-16-000216</v>
      </c>
      <c r="B217" t="s">
        <v>18</v>
      </c>
      <c r="C217" s="3" t="s">
        <v>19</v>
      </c>
      <c r="D217" s="3" t="s">
        <v>20</v>
      </c>
      <c r="E217" s="3" t="s">
        <v>21</v>
      </c>
      <c r="F217" s="4" t="s">
        <v>22</v>
      </c>
      <c r="G217" s="3" t="s">
        <v>23</v>
      </c>
      <c r="H217" t="s">
        <v>998</v>
      </c>
      <c r="I217" t="s">
        <v>25</v>
      </c>
      <c r="J217" s="6">
        <v>46014</v>
      </c>
      <c r="K217" t="s">
        <v>999</v>
      </c>
      <c r="L217" t="s">
        <v>18</v>
      </c>
      <c r="M217" s="3" t="s">
        <v>27</v>
      </c>
      <c r="N217" t="s">
        <v>1000</v>
      </c>
      <c r="O217" t="s">
        <v>18</v>
      </c>
      <c r="P217" t="s">
        <v>525</v>
      </c>
      <c r="Q217" t="s">
        <v>1001</v>
      </c>
      <c r="S217" t="s">
        <v>18</v>
      </c>
      <c r="T217" t="s">
        <v>18</v>
      </c>
    </row>
    <row r="218" spans="1:20">
      <c r="A218" t="str">
        <f t="shared" si="3"/>
        <v>NodeRed-16-000217</v>
      </c>
      <c r="B218" t="s">
        <v>18</v>
      </c>
      <c r="C218" s="3" t="s">
        <v>19</v>
      </c>
      <c r="D218" s="3" t="s">
        <v>20</v>
      </c>
      <c r="E218" s="3" t="s">
        <v>21</v>
      </c>
      <c r="F218" s="4" t="s">
        <v>22</v>
      </c>
      <c r="G218" s="3" t="s">
        <v>23</v>
      </c>
      <c r="H218" t="s">
        <v>1002</v>
      </c>
      <c r="I218" t="s">
        <v>25</v>
      </c>
      <c r="J218" s="6">
        <v>46014</v>
      </c>
      <c r="K218" t="s">
        <v>1003</v>
      </c>
      <c r="L218" t="s">
        <v>18</v>
      </c>
      <c r="M218" s="3" t="s">
        <v>27</v>
      </c>
      <c r="N218" t="s">
        <v>1004</v>
      </c>
      <c r="O218" t="s">
        <v>18</v>
      </c>
      <c r="P218" t="s">
        <v>996</v>
      </c>
      <c r="Q218" t="s">
        <v>1005</v>
      </c>
      <c r="S218" t="s">
        <v>18</v>
      </c>
      <c r="T218" t="s">
        <v>18</v>
      </c>
    </row>
    <row r="219" spans="1:20">
      <c r="A219" t="str">
        <f t="shared" si="3"/>
        <v>NodeRed-16-000218</v>
      </c>
      <c r="B219" t="s">
        <v>18</v>
      </c>
      <c r="C219" s="3" t="s">
        <v>19</v>
      </c>
      <c r="D219" s="3" t="s">
        <v>20</v>
      </c>
      <c r="E219" s="3" t="s">
        <v>21</v>
      </c>
      <c r="F219" s="4" t="s">
        <v>22</v>
      </c>
      <c r="G219" s="3" t="s">
        <v>23</v>
      </c>
      <c r="H219" t="s">
        <v>100</v>
      </c>
      <c r="I219" t="s">
        <v>25</v>
      </c>
      <c r="J219" s="6">
        <v>46014</v>
      </c>
      <c r="K219" t="s">
        <v>1006</v>
      </c>
      <c r="L219" t="s">
        <v>18</v>
      </c>
      <c r="M219" s="3" t="s">
        <v>27</v>
      </c>
      <c r="N219" t="s">
        <v>1007</v>
      </c>
      <c r="O219" t="s">
        <v>18</v>
      </c>
      <c r="P219" t="s">
        <v>1008</v>
      </c>
      <c r="Q219" t="s">
        <v>1009</v>
      </c>
      <c r="S219" t="s">
        <v>18</v>
      </c>
      <c r="T219" t="s">
        <v>18</v>
      </c>
    </row>
    <row r="220" spans="1:20">
      <c r="A220" t="str">
        <f t="shared" si="3"/>
        <v>NodeRed-16-000219</v>
      </c>
      <c r="B220" t="s">
        <v>18</v>
      </c>
      <c r="C220" s="3" t="s">
        <v>19</v>
      </c>
      <c r="D220" s="3" t="s">
        <v>20</v>
      </c>
      <c r="E220" s="3" t="s">
        <v>21</v>
      </c>
      <c r="F220" s="4" t="s">
        <v>22</v>
      </c>
      <c r="G220" s="3" t="s">
        <v>23</v>
      </c>
      <c r="H220" t="s">
        <v>1010</v>
      </c>
      <c r="I220" t="s">
        <v>25</v>
      </c>
      <c r="J220" s="6">
        <v>46014</v>
      </c>
      <c r="K220" t="s">
        <v>1011</v>
      </c>
      <c r="L220" t="s">
        <v>18</v>
      </c>
      <c r="M220" s="3" t="s">
        <v>27</v>
      </c>
      <c r="N220" t="s">
        <v>1012</v>
      </c>
      <c r="O220" t="s">
        <v>18</v>
      </c>
      <c r="P220" t="s">
        <v>79</v>
      </c>
      <c r="Q220" t="s">
        <v>1013</v>
      </c>
      <c r="S220" t="s">
        <v>18</v>
      </c>
      <c r="T220" t="s">
        <v>18</v>
      </c>
    </row>
    <row r="221" spans="1:20">
      <c r="A221" t="str">
        <f t="shared" si="3"/>
        <v>NodeRed-16-000220</v>
      </c>
      <c r="B221" t="s">
        <v>18</v>
      </c>
      <c r="C221" s="3" t="s">
        <v>19</v>
      </c>
      <c r="D221" s="3" t="s">
        <v>20</v>
      </c>
      <c r="E221" s="3" t="s">
        <v>21</v>
      </c>
      <c r="F221" s="4" t="s">
        <v>22</v>
      </c>
      <c r="G221" s="3" t="s">
        <v>23</v>
      </c>
      <c r="H221" t="s">
        <v>1014</v>
      </c>
      <c r="I221" t="s">
        <v>25</v>
      </c>
      <c r="J221" s="6">
        <v>46014</v>
      </c>
      <c r="K221" t="s">
        <v>1015</v>
      </c>
      <c r="L221" t="s">
        <v>18</v>
      </c>
      <c r="M221" s="3" t="s">
        <v>27</v>
      </c>
      <c r="N221" t="s">
        <v>1016</v>
      </c>
      <c r="O221" t="s">
        <v>18</v>
      </c>
      <c r="P221" t="s">
        <v>229</v>
      </c>
      <c r="Q221" t="s">
        <v>1017</v>
      </c>
      <c r="S221" t="s">
        <v>18</v>
      </c>
      <c r="T221" t="s">
        <v>18</v>
      </c>
    </row>
    <row r="222" spans="1:20">
      <c r="A222" t="str">
        <f t="shared" si="3"/>
        <v>NodeRed-16-000221</v>
      </c>
      <c r="B222" t="s">
        <v>18</v>
      </c>
      <c r="C222" s="3" t="s">
        <v>19</v>
      </c>
      <c r="D222" s="3" t="s">
        <v>20</v>
      </c>
      <c r="E222" s="3" t="s">
        <v>21</v>
      </c>
      <c r="F222" s="4" t="s">
        <v>22</v>
      </c>
      <c r="G222" s="3" t="s">
        <v>23</v>
      </c>
      <c r="H222" t="s">
        <v>1018</v>
      </c>
      <c r="I222" t="s">
        <v>25</v>
      </c>
      <c r="J222" s="6">
        <v>46014</v>
      </c>
      <c r="K222" t="s">
        <v>1019</v>
      </c>
      <c r="L222" t="s">
        <v>18</v>
      </c>
      <c r="M222" s="3" t="s">
        <v>27</v>
      </c>
      <c r="N222" t="s">
        <v>1020</v>
      </c>
      <c r="O222" t="s">
        <v>18</v>
      </c>
      <c r="P222" t="s">
        <v>427</v>
      </c>
      <c r="Q222" t="s">
        <v>1021</v>
      </c>
      <c r="S222" t="s">
        <v>18</v>
      </c>
      <c r="T222" t="s">
        <v>18</v>
      </c>
    </row>
    <row r="223" spans="1:20">
      <c r="A223" t="str">
        <f t="shared" si="3"/>
        <v>NodeRed-16-000222</v>
      </c>
      <c r="B223" t="s">
        <v>18</v>
      </c>
      <c r="C223" s="3" t="s">
        <v>19</v>
      </c>
      <c r="D223" s="3" t="s">
        <v>20</v>
      </c>
      <c r="E223" s="3" t="s">
        <v>21</v>
      </c>
      <c r="F223" s="4" t="s">
        <v>22</v>
      </c>
      <c r="G223" s="3" t="s">
        <v>23</v>
      </c>
      <c r="H223" t="s">
        <v>1022</v>
      </c>
      <c r="I223" t="s">
        <v>25</v>
      </c>
      <c r="J223" s="6">
        <v>46014</v>
      </c>
      <c r="K223" t="s">
        <v>1023</v>
      </c>
      <c r="L223" t="s">
        <v>18</v>
      </c>
      <c r="M223" s="3" t="s">
        <v>27</v>
      </c>
      <c r="N223" t="s">
        <v>1024</v>
      </c>
      <c r="O223" t="s">
        <v>18</v>
      </c>
      <c r="P223" t="s">
        <v>1025</v>
      </c>
      <c r="Q223" t="s">
        <v>1026</v>
      </c>
      <c r="S223" t="s">
        <v>18</v>
      </c>
      <c r="T223" t="s">
        <v>18</v>
      </c>
    </row>
    <row r="224" spans="1:20">
      <c r="A224" t="str">
        <f t="shared" si="3"/>
        <v>NodeRed-16-000223</v>
      </c>
      <c r="B224" t="s">
        <v>18</v>
      </c>
      <c r="C224" s="3" t="s">
        <v>19</v>
      </c>
      <c r="D224" s="3" t="s">
        <v>20</v>
      </c>
      <c r="E224" s="3" t="s">
        <v>21</v>
      </c>
      <c r="F224" s="4" t="s">
        <v>22</v>
      </c>
      <c r="G224" s="3" t="s">
        <v>23</v>
      </c>
      <c r="H224" t="s">
        <v>1027</v>
      </c>
      <c r="I224" t="s">
        <v>25</v>
      </c>
      <c r="J224" s="6">
        <v>46014</v>
      </c>
      <c r="K224" t="s">
        <v>1028</v>
      </c>
      <c r="L224" t="s">
        <v>18</v>
      </c>
      <c r="M224" s="3" t="s">
        <v>27</v>
      </c>
      <c r="N224" t="s">
        <v>1029</v>
      </c>
      <c r="O224" t="s">
        <v>18</v>
      </c>
      <c r="P224" t="s">
        <v>849</v>
      </c>
      <c r="Q224" t="s">
        <v>1030</v>
      </c>
      <c r="S224" t="s">
        <v>18</v>
      </c>
      <c r="T224" t="s">
        <v>18</v>
      </c>
    </row>
    <row r="225" spans="1:20">
      <c r="A225" t="str">
        <f t="shared" si="3"/>
        <v>NodeRed-16-000224</v>
      </c>
      <c r="B225" t="s">
        <v>18</v>
      </c>
      <c r="C225" s="3" t="s">
        <v>19</v>
      </c>
      <c r="D225" s="3" t="s">
        <v>20</v>
      </c>
      <c r="E225" s="3" t="s">
        <v>21</v>
      </c>
      <c r="F225" s="4" t="s">
        <v>22</v>
      </c>
      <c r="G225" s="3" t="s">
        <v>23</v>
      </c>
      <c r="H225" t="s">
        <v>1031</v>
      </c>
      <c r="I225" t="s">
        <v>25</v>
      </c>
      <c r="J225" s="6">
        <v>46014</v>
      </c>
      <c r="K225" t="s">
        <v>1032</v>
      </c>
      <c r="L225" t="s">
        <v>18</v>
      </c>
      <c r="M225" s="3" t="s">
        <v>27</v>
      </c>
      <c r="N225" t="s">
        <v>1033</v>
      </c>
      <c r="O225" t="s">
        <v>18</v>
      </c>
      <c r="P225" t="s">
        <v>1034</v>
      </c>
      <c r="Q225" t="s">
        <v>1035</v>
      </c>
      <c r="S225" t="s">
        <v>18</v>
      </c>
      <c r="T225" t="s">
        <v>18</v>
      </c>
    </row>
    <row r="226" spans="1:20">
      <c r="A226" t="str">
        <f t="shared" si="3"/>
        <v>NodeRed-16-000225</v>
      </c>
      <c r="B226" t="s">
        <v>18</v>
      </c>
      <c r="C226" s="3" t="s">
        <v>19</v>
      </c>
      <c r="D226" s="3" t="s">
        <v>20</v>
      </c>
      <c r="E226" s="3" t="s">
        <v>21</v>
      </c>
      <c r="F226" s="4" t="s">
        <v>22</v>
      </c>
      <c r="G226" s="3" t="s">
        <v>23</v>
      </c>
      <c r="H226" t="s">
        <v>1036</v>
      </c>
      <c r="I226" t="s">
        <v>25</v>
      </c>
      <c r="J226" s="6">
        <v>46014</v>
      </c>
      <c r="K226" t="s">
        <v>1037</v>
      </c>
      <c r="L226" t="s">
        <v>18</v>
      </c>
      <c r="M226" s="3" t="s">
        <v>27</v>
      </c>
      <c r="N226" t="s">
        <v>1038</v>
      </c>
      <c r="O226" t="s">
        <v>18</v>
      </c>
      <c r="P226" t="s">
        <v>1039</v>
      </c>
      <c r="Q226" t="s">
        <v>1040</v>
      </c>
      <c r="S226" t="s">
        <v>18</v>
      </c>
      <c r="T226" t="s">
        <v>18</v>
      </c>
    </row>
    <row r="227" spans="1:20">
      <c r="A227" t="str">
        <f t="shared" si="3"/>
        <v>NodeRed-16-000226</v>
      </c>
      <c r="B227" t="s">
        <v>18</v>
      </c>
      <c r="C227" s="3" t="s">
        <v>19</v>
      </c>
      <c r="D227" s="3" t="s">
        <v>20</v>
      </c>
      <c r="E227" s="3" t="s">
        <v>21</v>
      </c>
      <c r="F227" s="4" t="s">
        <v>22</v>
      </c>
      <c r="G227" s="3" t="s">
        <v>23</v>
      </c>
      <c r="H227" t="s">
        <v>1041</v>
      </c>
      <c r="I227" t="s">
        <v>25</v>
      </c>
      <c r="J227" s="6">
        <v>46014</v>
      </c>
      <c r="K227" t="s">
        <v>1042</v>
      </c>
      <c r="L227" t="s">
        <v>18</v>
      </c>
      <c r="M227" s="3" t="s">
        <v>27</v>
      </c>
      <c r="N227" t="s">
        <v>1043</v>
      </c>
      <c r="O227" t="s">
        <v>18</v>
      </c>
      <c r="P227" t="s">
        <v>1044</v>
      </c>
      <c r="Q227" t="s">
        <v>1045</v>
      </c>
      <c r="S227" t="s">
        <v>18</v>
      </c>
      <c r="T227" t="s">
        <v>18</v>
      </c>
    </row>
    <row r="228" spans="1:20">
      <c r="A228" t="str">
        <f t="shared" si="3"/>
        <v>NodeRed-16-000227</v>
      </c>
      <c r="B228" t="s">
        <v>18</v>
      </c>
      <c r="C228" s="3" t="s">
        <v>19</v>
      </c>
      <c r="D228" s="3" t="s">
        <v>20</v>
      </c>
      <c r="E228" s="3" t="s">
        <v>21</v>
      </c>
      <c r="F228" s="4" t="s">
        <v>22</v>
      </c>
      <c r="G228" s="3" t="s">
        <v>23</v>
      </c>
      <c r="H228" t="s">
        <v>1046</v>
      </c>
      <c r="I228" t="s">
        <v>25</v>
      </c>
      <c r="J228" s="6">
        <v>46014</v>
      </c>
      <c r="K228" t="s">
        <v>1047</v>
      </c>
      <c r="L228" t="s">
        <v>18</v>
      </c>
      <c r="M228" s="3" t="s">
        <v>27</v>
      </c>
      <c r="N228" t="s">
        <v>1048</v>
      </c>
      <c r="O228" t="s">
        <v>18</v>
      </c>
      <c r="P228" t="s">
        <v>64</v>
      </c>
      <c r="Q228" t="s">
        <v>1049</v>
      </c>
      <c r="S228" t="s">
        <v>18</v>
      </c>
      <c r="T228" t="s">
        <v>18</v>
      </c>
    </row>
    <row r="229" spans="1:20">
      <c r="A229" t="str">
        <f t="shared" si="3"/>
        <v>NodeRed-16-000228</v>
      </c>
      <c r="B229" t="s">
        <v>18</v>
      </c>
      <c r="C229" s="3" t="s">
        <v>19</v>
      </c>
      <c r="D229" s="3" t="s">
        <v>20</v>
      </c>
      <c r="E229" s="3" t="s">
        <v>21</v>
      </c>
      <c r="F229" s="4" t="s">
        <v>22</v>
      </c>
      <c r="G229" s="3" t="s">
        <v>23</v>
      </c>
      <c r="H229" t="s">
        <v>1050</v>
      </c>
      <c r="I229" t="s">
        <v>25</v>
      </c>
      <c r="J229" s="6">
        <v>46014</v>
      </c>
      <c r="K229" t="s">
        <v>1051</v>
      </c>
      <c r="L229" t="s">
        <v>18</v>
      </c>
      <c r="M229" s="3" t="s">
        <v>27</v>
      </c>
      <c r="N229" t="s">
        <v>1052</v>
      </c>
      <c r="O229" t="s">
        <v>18</v>
      </c>
      <c r="P229" t="s">
        <v>229</v>
      </c>
      <c r="Q229" t="s">
        <v>1053</v>
      </c>
      <c r="S229" t="s">
        <v>18</v>
      </c>
      <c r="T229" t="s">
        <v>18</v>
      </c>
    </row>
    <row r="230" spans="1:20">
      <c r="A230" t="str">
        <f t="shared" si="3"/>
        <v>NodeRed-16-000229</v>
      </c>
      <c r="B230" t="s">
        <v>18</v>
      </c>
      <c r="C230" s="3" t="s">
        <v>19</v>
      </c>
      <c r="D230" s="3" t="s">
        <v>20</v>
      </c>
      <c r="E230" s="3" t="s">
        <v>21</v>
      </c>
      <c r="F230" s="4" t="s">
        <v>22</v>
      </c>
      <c r="G230" s="3" t="s">
        <v>23</v>
      </c>
      <c r="H230" t="s">
        <v>1054</v>
      </c>
      <c r="I230" t="s">
        <v>25</v>
      </c>
      <c r="J230" s="6">
        <v>46014</v>
      </c>
      <c r="K230" t="s">
        <v>1055</v>
      </c>
      <c r="L230" t="s">
        <v>18</v>
      </c>
      <c r="M230" s="3" t="s">
        <v>27</v>
      </c>
      <c r="N230" t="s">
        <v>1056</v>
      </c>
      <c r="O230" t="s">
        <v>18</v>
      </c>
      <c r="P230" t="s">
        <v>525</v>
      </c>
      <c r="Q230" t="s">
        <v>1057</v>
      </c>
      <c r="S230" t="s">
        <v>18</v>
      </c>
      <c r="T230" t="s">
        <v>18</v>
      </c>
    </row>
    <row r="231" spans="1:20">
      <c r="A231" t="str">
        <f t="shared" si="3"/>
        <v>NodeRed-16-000230</v>
      </c>
      <c r="B231" t="s">
        <v>18</v>
      </c>
      <c r="C231" s="3" t="s">
        <v>19</v>
      </c>
      <c r="D231" s="3" t="s">
        <v>20</v>
      </c>
      <c r="E231" s="3" t="s">
        <v>21</v>
      </c>
      <c r="F231" s="4" t="s">
        <v>22</v>
      </c>
      <c r="G231" s="3" t="s">
        <v>23</v>
      </c>
      <c r="H231" t="s">
        <v>1058</v>
      </c>
      <c r="I231" t="s">
        <v>25</v>
      </c>
      <c r="J231" s="6">
        <v>46014</v>
      </c>
      <c r="K231" t="s">
        <v>1059</v>
      </c>
      <c r="L231" t="s">
        <v>18</v>
      </c>
      <c r="M231" s="3" t="s">
        <v>27</v>
      </c>
      <c r="N231" t="s">
        <v>1060</v>
      </c>
      <c r="O231" t="s">
        <v>18</v>
      </c>
      <c r="P231" t="s">
        <v>49</v>
      </c>
      <c r="Q231" t="s">
        <v>1061</v>
      </c>
      <c r="S231" t="s">
        <v>18</v>
      </c>
      <c r="T231" t="s">
        <v>18</v>
      </c>
    </row>
    <row r="232" spans="1:20">
      <c r="A232" t="str">
        <f t="shared" si="3"/>
        <v>NodeRed-16-000231</v>
      </c>
      <c r="B232" t="s">
        <v>18</v>
      </c>
      <c r="C232" s="3" t="s">
        <v>19</v>
      </c>
      <c r="D232" s="3" t="s">
        <v>20</v>
      </c>
      <c r="E232" s="3" t="s">
        <v>21</v>
      </c>
      <c r="F232" s="4" t="s">
        <v>22</v>
      </c>
      <c r="G232" s="3" t="s">
        <v>23</v>
      </c>
      <c r="H232" t="s">
        <v>1062</v>
      </c>
      <c r="I232" t="s">
        <v>25</v>
      </c>
      <c r="J232" s="6">
        <v>46014</v>
      </c>
      <c r="K232" t="s">
        <v>1063</v>
      </c>
      <c r="L232" t="s">
        <v>18</v>
      </c>
      <c r="M232" s="3" t="s">
        <v>27</v>
      </c>
      <c r="N232" t="s">
        <v>1064</v>
      </c>
      <c r="O232" t="s">
        <v>18</v>
      </c>
      <c r="P232" t="s">
        <v>1065</v>
      </c>
      <c r="Q232" t="s">
        <v>1066</v>
      </c>
      <c r="S232" t="s">
        <v>18</v>
      </c>
      <c r="T232" t="s">
        <v>18</v>
      </c>
    </row>
    <row r="233" spans="1:20">
      <c r="A233" t="str">
        <f t="shared" si="3"/>
        <v>NodeRed-16-000232</v>
      </c>
      <c r="B233" t="s">
        <v>18</v>
      </c>
      <c r="C233" s="3" t="s">
        <v>19</v>
      </c>
      <c r="D233" s="3" t="s">
        <v>20</v>
      </c>
      <c r="E233" s="3" t="s">
        <v>21</v>
      </c>
      <c r="F233" s="4" t="s">
        <v>22</v>
      </c>
      <c r="G233" s="3" t="s">
        <v>23</v>
      </c>
      <c r="H233" t="s">
        <v>1067</v>
      </c>
      <c r="I233" t="s">
        <v>25</v>
      </c>
      <c r="J233" s="6">
        <v>46014</v>
      </c>
      <c r="K233" t="s">
        <v>1068</v>
      </c>
      <c r="L233" t="s">
        <v>18</v>
      </c>
      <c r="M233" s="3" t="s">
        <v>27</v>
      </c>
      <c r="N233" t="s">
        <v>1069</v>
      </c>
      <c r="O233" t="s">
        <v>18</v>
      </c>
      <c r="P233" t="s">
        <v>1070</v>
      </c>
      <c r="Q233" t="s">
        <v>1071</v>
      </c>
      <c r="S233" t="s">
        <v>18</v>
      </c>
      <c r="T233" t="s">
        <v>18</v>
      </c>
    </row>
    <row r="234" spans="1:20">
      <c r="A234" t="str">
        <f t="shared" si="3"/>
        <v>NodeRed-16-000233</v>
      </c>
      <c r="B234" t="s">
        <v>18</v>
      </c>
      <c r="C234" s="3" t="s">
        <v>19</v>
      </c>
      <c r="D234" s="3" t="s">
        <v>20</v>
      </c>
      <c r="E234" s="3" t="s">
        <v>21</v>
      </c>
      <c r="F234" s="4" t="s">
        <v>22</v>
      </c>
      <c r="G234" s="3" t="s">
        <v>23</v>
      </c>
      <c r="H234" t="s">
        <v>1072</v>
      </c>
      <c r="I234" t="s">
        <v>25</v>
      </c>
      <c r="J234" s="6">
        <v>46014</v>
      </c>
      <c r="K234" t="s">
        <v>1073</v>
      </c>
      <c r="L234" t="s">
        <v>18</v>
      </c>
      <c r="M234" s="3" t="s">
        <v>27</v>
      </c>
      <c r="N234" t="s">
        <v>1074</v>
      </c>
      <c r="O234" t="s">
        <v>18</v>
      </c>
      <c r="P234" t="s">
        <v>923</v>
      </c>
      <c r="Q234" t="s">
        <v>1075</v>
      </c>
      <c r="S234" t="s">
        <v>18</v>
      </c>
      <c r="T234" t="s">
        <v>18</v>
      </c>
    </row>
    <row r="235" spans="1:20">
      <c r="A235" t="str">
        <f t="shared" si="3"/>
        <v>NodeRed-16-000234</v>
      </c>
      <c r="B235" t="s">
        <v>18</v>
      </c>
      <c r="C235" s="3" t="s">
        <v>19</v>
      </c>
      <c r="D235" s="3" t="s">
        <v>20</v>
      </c>
      <c r="E235" s="3" t="s">
        <v>21</v>
      </c>
      <c r="F235" s="4" t="s">
        <v>22</v>
      </c>
      <c r="G235" s="3" t="s">
        <v>23</v>
      </c>
      <c r="H235" t="s">
        <v>1076</v>
      </c>
      <c r="I235" t="s">
        <v>25</v>
      </c>
      <c r="J235" s="6">
        <v>46014</v>
      </c>
      <c r="K235" t="s">
        <v>1077</v>
      </c>
      <c r="L235" t="s">
        <v>18</v>
      </c>
      <c r="M235" s="3" t="s">
        <v>27</v>
      </c>
      <c r="N235" t="s">
        <v>1078</v>
      </c>
      <c r="O235" t="s">
        <v>18</v>
      </c>
      <c r="P235" t="s">
        <v>525</v>
      </c>
      <c r="Q235" t="s">
        <v>1079</v>
      </c>
      <c r="S235" t="s">
        <v>18</v>
      </c>
      <c r="T235" t="s">
        <v>18</v>
      </c>
    </row>
    <row r="236" spans="1:20">
      <c r="A236" t="str">
        <f t="shared" si="3"/>
        <v>NodeRed-16-000235</v>
      </c>
      <c r="B236" t="s">
        <v>18</v>
      </c>
      <c r="C236" s="3" t="s">
        <v>19</v>
      </c>
      <c r="D236" s="3" t="s">
        <v>20</v>
      </c>
      <c r="E236" s="3" t="s">
        <v>21</v>
      </c>
      <c r="F236" s="4" t="s">
        <v>22</v>
      </c>
      <c r="G236" s="3" t="s">
        <v>23</v>
      </c>
      <c r="H236" t="s">
        <v>1080</v>
      </c>
      <c r="I236" t="s">
        <v>25</v>
      </c>
      <c r="J236" s="6">
        <v>46014</v>
      </c>
      <c r="K236" t="s">
        <v>1081</v>
      </c>
      <c r="L236" t="s">
        <v>18</v>
      </c>
      <c r="M236" s="3" t="s">
        <v>27</v>
      </c>
      <c r="N236" t="s">
        <v>1082</v>
      </c>
      <c r="O236" t="s">
        <v>18</v>
      </c>
      <c r="P236" t="s">
        <v>1083</v>
      </c>
      <c r="Q236" t="s">
        <v>1084</v>
      </c>
      <c r="S236" t="s">
        <v>18</v>
      </c>
      <c r="T236" t="s">
        <v>18</v>
      </c>
    </row>
    <row r="237" spans="1:20">
      <c r="A237" t="str">
        <f t="shared" si="3"/>
        <v>NodeRed-16-000236</v>
      </c>
      <c r="B237" t="s">
        <v>18</v>
      </c>
      <c r="C237" s="3" t="s">
        <v>19</v>
      </c>
      <c r="D237" s="3" t="s">
        <v>20</v>
      </c>
      <c r="E237" s="3" t="s">
        <v>21</v>
      </c>
      <c r="F237" s="4" t="s">
        <v>22</v>
      </c>
      <c r="G237" s="3" t="s">
        <v>23</v>
      </c>
      <c r="H237" t="s">
        <v>1085</v>
      </c>
      <c r="I237" t="s">
        <v>25</v>
      </c>
      <c r="J237" s="6">
        <v>46014</v>
      </c>
      <c r="K237" t="s">
        <v>1086</v>
      </c>
      <c r="L237" t="s">
        <v>18</v>
      </c>
      <c r="M237" s="3" t="s">
        <v>27</v>
      </c>
      <c r="N237" t="s">
        <v>1087</v>
      </c>
      <c r="O237" t="s">
        <v>18</v>
      </c>
      <c r="P237" t="s">
        <v>229</v>
      </c>
      <c r="Q237" t="s">
        <v>1088</v>
      </c>
      <c r="S237" t="s">
        <v>18</v>
      </c>
      <c r="T237" t="s">
        <v>18</v>
      </c>
    </row>
    <row r="238" spans="1:20">
      <c r="A238" t="str">
        <f t="shared" si="3"/>
        <v>NodeRed-16-000237</v>
      </c>
      <c r="B238" t="s">
        <v>18</v>
      </c>
      <c r="C238" s="3" t="s">
        <v>19</v>
      </c>
      <c r="D238" s="3" t="s">
        <v>20</v>
      </c>
      <c r="E238" s="3" t="s">
        <v>21</v>
      </c>
      <c r="F238" s="4" t="s">
        <v>22</v>
      </c>
      <c r="G238" s="3" t="s">
        <v>23</v>
      </c>
      <c r="H238" t="s">
        <v>1089</v>
      </c>
      <c r="I238" t="s">
        <v>25</v>
      </c>
      <c r="J238" s="6">
        <v>46014</v>
      </c>
      <c r="K238" t="s">
        <v>1090</v>
      </c>
      <c r="L238" t="s">
        <v>18</v>
      </c>
      <c r="M238" s="3" t="s">
        <v>27</v>
      </c>
      <c r="N238" t="s">
        <v>1091</v>
      </c>
      <c r="O238" t="s">
        <v>18</v>
      </c>
      <c r="P238" t="s">
        <v>956</v>
      </c>
      <c r="Q238" t="s">
        <v>1092</v>
      </c>
      <c r="S238" t="s">
        <v>18</v>
      </c>
      <c r="T238" t="s">
        <v>18</v>
      </c>
    </row>
    <row r="239" spans="1:20">
      <c r="A239" t="str">
        <f t="shared" si="3"/>
        <v>NodeRed-16-000238</v>
      </c>
      <c r="B239" t="s">
        <v>18</v>
      </c>
      <c r="C239" s="3" t="s">
        <v>19</v>
      </c>
      <c r="D239" s="3" t="s">
        <v>20</v>
      </c>
      <c r="E239" s="3" t="s">
        <v>21</v>
      </c>
      <c r="F239" s="4" t="s">
        <v>22</v>
      </c>
      <c r="G239" s="3" t="s">
        <v>23</v>
      </c>
      <c r="H239" t="s">
        <v>1093</v>
      </c>
      <c r="I239" t="s">
        <v>25</v>
      </c>
      <c r="J239" s="6">
        <v>46014</v>
      </c>
      <c r="K239" t="s">
        <v>1094</v>
      </c>
      <c r="L239" t="s">
        <v>18</v>
      </c>
      <c r="M239" s="3" t="s">
        <v>27</v>
      </c>
      <c r="N239" t="s">
        <v>1095</v>
      </c>
      <c r="O239" t="s">
        <v>18</v>
      </c>
      <c r="P239" t="s">
        <v>1096</v>
      </c>
      <c r="Q239" t="s">
        <v>1097</v>
      </c>
      <c r="S239" t="s">
        <v>18</v>
      </c>
      <c r="T239" t="s">
        <v>18</v>
      </c>
    </row>
    <row r="240" spans="1:20">
      <c r="A240" t="str">
        <f t="shared" si="3"/>
        <v>NodeRed-16-000239</v>
      </c>
      <c r="B240" t="s">
        <v>18</v>
      </c>
      <c r="C240" s="3" t="s">
        <v>19</v>
      </c>
      <c r="D240" s="3" t="s">
        <v>20</v>
      </c>
      <c r="E240" s="3" t="s">
        <v>21</v>
      </c>
      <c r="F240" s="4" t="s">
        <v>22</v>
      </c>
      <c r="G240" s="3" t="s">
        <v>23</v>
      </c>
      <c r="H240" t="s">
        <v>1098</v>
      </c>
      <c r="I240" t="s">
        <v>25</v>
      </c>
      <c r="J240" s="6">
        <v>46014</v>
      </c>
      <c r="K240" t="s">
        <v>1099</v>
      </c>
      <c r="L240" t="s">
        <v>18</v>
      </c>
      <c r="M240" s="3" t="s">
        <v>27</v>
      </c>
      <c r="N240" t="s">
        <v>1100</v>
      </c>
      <c r="O240" t="s">
        <v>18</v>
      </c>
      <c r="P240" t="s">
        <v>252</v>
      </c>
      <c r="Q240" t="s">
        <v>1101</v>
      </c>
      <c r="S240" t="s">
        <v>18</v>
      </c>
      <c r="T240" t="s">
        <v>18</v>
      </c>
    </row>
    <row r="241" spans="1:20">
      <c r="A241" t="str">
        <f t="shared" si="3"/>
        <v>NodeRed-16-000240</v>
      </c>
      <c r="B241" t="s">
        <v>18</v>
      </c>
      <c r="C241" s="3" t="s">
        <v>19</v>
      </c>
      <c r="D241" s="3" t="s">
        <v>20</v>
      </c>
      <c r="E241" s="3" t="s">
        <v>21</v>
      </c>
      <c r="F241" s="4" t="s">
        <v>22</v>
      </c>
      <c r="G241" s="3" t="s">
        <v>23</v>
      </c>
      <c r="H241" t="s">
        <v>1102</v>
      </c>
      <c r="I241" t="s">
        <v>25</v>
      </c>
      <c r="J241" s="6">
        <v>46014</v>
      </c>
      <c r="K241" t="s">
        <v>1103</v>
      </c>
      <c r="L241" t="s">
        <v>18</v>
      </c>
      <c r="M241" s="3" t="s">
        <v>27</v>
      </c>
      <c r="N241" t="s">
        <v>1104</v>
      </c>
      <c r="O241" t="s">
        <v>18</v>
      </c>
      <c r="P241" t="s">
        <v>1105</v>
      </c>
      <c r="Q241" t="s">
        <v>1106</v>
      </c>
      <c r="S241" t="s">
        <v>18</v>
      </c>
      <c r="T241" t="s">
        <v>18</v>
      </c>
    </row>
    <row r="242" spans="1:20">
      <c r="A242" t="str">
        <f t="shared" si="3"/>
        <v>NodeRed-16-000241</v>
      </c>
      <c r="B242" t="s">
        <v>18</v>
      </c>
      <c r="C242" s="3" t="s">
        <v>19</v>
      </c>
      <c r="D242" s="3" t="s">
        <v>20</v>
      </c>
      <c r="E242" s="3" t="s">
        <v>21</v>
      </c>
      <c r="F242" s="4" t="s">
        <v>22</v>
      </c>
      <c r="G242" s="3" t="s">
        <v>23</v>
      </c>
      <c r="H242" t="s">
        <v>331</v>
      </c>
      <c r="I242" t="s">
        <v>25</v>
      </c>
      <c r="J242" s="6">
        <v>46014</v>
      </c>
      <c r="K242" t="s">
        <v>1107</v>
      </c>
      <c r="L242" t="s">
        <v>18</v>
      </c>
      <c r="M242" s="3" t="s">
        <v>27</v>
      </c>
      <c r="N242" t="s">
        <v>1108</v>
      </c>
      <c r="O242" t="s">
        <v>18</v>
      </c>
      <c r="P242" t="s">
        <v>49</v>
      </c>
      <c r="Q242" t="s">
        <v>1109</v>
      </c>
      <c r="S242" t="s">
        <v>18</v>
      </c>
      <c r="T242" t="s">
        <v>18</v>
      </c>
    </row>
    <row r="243" spans="1:20">
      <c r="A243" t="str">
        <f t="shared" si="3"/>
        <v>NodeRed-16-000242</v>
      </c>
      <c r="B243" t="s">
        <v>18</v>
      </c>
      <c r="C243" s="3" t="s">
        <v>19</v>
      </c>
      <c r="D243" s="3" t="s">
        <v>20</v>
      </c>
      <c r="E243" s="3" t="s">
        <v>21</v>
      </c>
      <c r="F243" s="4" t="s">
        <v>22</v>
      </c>
      <c r="G243" s="3" t="s">
        <v>23</v>
      </c>
      <c r="H243" t="s">
        <v>1110</v>
      </c>
      <c r="I243" t="s">
        <v>25</v>
      </c>
      <c r="J243" s="6">
        <v>46014</v>
      </c>
      <c r="K243" t="s">
        <v>1111</v>
      </c>
      <c r="L243" t="s">
        <v>18</v>
      </c>
      <c r="M243" s="3" t="s">
        <v>27</v>
      </c>
      <c r="N243" t="s">
        <v>1112</v>
      </c>
      <c r="O243" t="s">
        <v>18</v>
      </c>
      <c r="P243" t="s">
        <v>29</v>
      </c>
      <c r="Q243" t="s">
        <v>1113</v>
      </c>
      <c r="S243" t="s">
        <v>18</v>
      </c>
      <c r="T243" t="s">
        <v>18</v>
      </c>
    </row>
    <row r="244" spans="1:20">
      <c r="A244" t="str">
        <f t="shared" si="3"/>
        <v>NodeRed-16-000243</v>
      </c>
      <c r="B244" t="s">
        <v>18</v>
      </c>
      <c r="C244" s="3" t="s">
        <v>19</v>
      </c>
      <c r="D244" s="3" t="s">
        <v>20</v>
      </c>
      <c r="E244" s="3" t="s">
        <v>21</v>
      </c>
      <c r="F244" s="4" t="s">
        <v>22</v>
      </c>
      <c r="G244" s="3" t="s">
        <v>23</v>
      </c>
      <c r="H244" t="s">
        <v>1114</v>
      </c>
      <c r="I244" t="s">
        <v>25</v>
      </c>
      <c r="J244" s="6">
        <v>46014</v>
      </c>
      <c r="K244" t="s">
        <v>1115</v>
      </c>
      <c r="L244" t="s">
        <v>18</v>
      </c>
      <c r="M244" s="3" t="s">
        <v>27</v>
      </c>
      <c r="N244" t="s">
        <v>1116</v>
      </c>
      <c r="O244" t="s">
        <v>18</v>
      </c>
      <c r="P244" t="s">
        <v>1117</v>
      </c>
      <c r="Q244" t="s">
        <v>1118</v>
      </c>
      <c r="S244" t="s">
        <v>18</v>
      </c>
      <c r="T244" t="s">
        <v>18</v>
      </c>
    </row>
    <row r="245" spans="1:20">
      <c r="A245" t="str">
        <f t="shared" si="3"/>
        <v>NodeRed-16-000244</v>
      </c>
      <c r="B245" t="s">
        <v>18</v>
      </c>
      <c r="C245" s="3" t="s">
        <v>19</v>
      </c>
      <c r="D245" s="3" t="s">
        <v>20</v>
      </c>
      <c r="E245" s="3" t="s">
        <v>21</v>
      </c>
      <c r="F245" s="4" t="s">
        <v>22</v>
      </c>
      <c r="G245" s="3" t="s">
        <v>23</v>
      </c>
      <c r="H245" t="s">
        <v>1119</v>
      </c>
      <c r="I245" t="s">
        <v>25</v>
      </c>
      <c r="J245" s="6">
        <v>46014</v>
      </c>
      <c r="K245" t="s">
        <v>1120</v>
      </c>
      <c r="L245" t="s">
        <v>18</v>
      </c>
      <c r="M245" s="3" t="s">
        <v>27</v>
      </c>
      <c r="N245" t="s">
        <v>1121</v>
      </c>
      <c r="O245" t="s">
        <v>18</v>
      </c>
      <c r="P245" t="s">
        <v>151</v>
      </c>
      <c r="Q245" t="s">
        <v>1122</v>
      </c>
      <c r="S245" t="s">
        <v>18</v>
      </c>
      <c r="T245" t="s">
        <v>18</v>
      </c>
    </row>
    <row r="246" spans="1:20">
      <c r="A246" t="str">
        <f t="shared" si="3"/>
        <v>NodeRed-16-000245</v>
      </c>
      <c r="B246" t="s">
        <v>18</v>
      </c>
      <c r="C246" s="3" t="s">
        <v>19</v>
      </c>
      <c r="D246" s="3" t="s">
        <v>20</v>
      </c>
      <c r="E246" s="3" t="s">
        <v>21</v>
      </c>
      <c r="F246" s="4" t="s">
        <v>22</v>
      </c>
      <c r="G246" s="3" t="s">
        <v>23</v>
      </c>
      <c r="H246" t="s">
        <v>504</v>
      </c>
      <c r="I246" t="s">
        <v>25</v>
      </c>
      <c r="J246" s="6">
        <v>46014</v>
      </c>
      <c r="K246" t="s">
        <v>1123</v>
      </c>
      <c r="L246" t="s">
        <v>18</v>
      </c>
      <c r="M246" s="3" t="s">
        <v>27</v>
      </c>
      <c r="N246" t="s">
        <v>1124</v>
      </c>
      <c r="O246" t="s">
        <v>18</v>
      </c>
      <c r="P246" t="s">
        <v>1125</v>
      </c>
      <c r="Q246" t="s">
        <v>1126</v>
      </c>
      <c r="S246" t="s">
        <v>18</v>
      </c>
      <c r="T246" t="s">
        <v>18</v>
      </c>
    </row>
    <row r="247" spans="1:20">
      <c r="A247" t="str">
        <f t="shared" si="3"/>
        <v>NodeRed-16-000246</v>
      </c>
      <c r="B247" t="s">
        <v>18</v>
      </c>
      <c r="C247" s="3" t="s">
        <v>19</v>
      </c>
      <c r="D247" s="3" t="s">
        <v>20</v>
      </c>
      <c r="E247" s="3" t="s">
        <v>21</v>
      </c>
      <c r="F247" s="4" t="s">
        <v>22</v>
      </c>
      <c r="G247" s="3" t="s">
        <v>23</v>
      </c>
      <c r="H247" t="s">
        <v>1127</v>
      </c>
      <c r="I247" t="s">
        <v>25</v>
      </c>
      <c r="J247" s="6">
        <v>46014</v>
      </c>
      <c r="K247" t="s">
        <v>1128</v>
      </c>
      <c r="L247" t="s">
        <v>18</v>
      </c>
      <c r="M247" s="3" t="s">
        <v>27</v>
      </c>
      <c r="N247" t="s">
        <v>1129</v>
      </c>
      <c r="O247" t="s">
        <v>18</v>
      </c>
      <c r="P247" t="s">
        <v>479</v>
      </c>
      <c r="Q247" t="s">
        <v>1130</v>
      </c>
      <c r="S247" t="s">
        <v>18</v>
      </c>
      <c r="T247" t="s">
        <v>18</v>
      </c>
    </row>
    <row r="248" spans="1:20">
      <c r="A248" t="str">
        <f t="shared" si="3"/>
        <v>NodeRed-16-000247</v>
      </c>
      <c r="B248" t="s">
        <v>18</v>
      </c>
      <c r="C248" s="3" t="s">
        <v>19</v>
      </c>
      <c r="D248" s="3" t="s">
        <v>20</v>
      </c>
      <c r="E248" s="3" t="s">
        <v>21</v>
      </c>
      <c r="F248" s="4" t="s">
        <v>22</v>
      </c>
      <c r="G248" s="3" t="s">
        <v>23</v>
      </c>
      <c r="H248" t="s">
        <v>1131</v>
      </c>
      <c r="I248" t="s">
        <v>25</v>
      </c>
      <c r="J248" s="6">
        <v>46014</v>
      </c>
      <c r="K248" t="s">
        <v>1132</v>
      </c>
      <c r="L248" t="s">
        <v>18</v>
      </c>
      <c r="M248" s="3" t="s">
        <v>27</v>
      </c>
      <c r="N248" t="s">
        <v>1133</v>
      </c>
      <c r="O248" t="s">
        <v>18</v>
      </c>
      <c r="P248" t="s">
        <v>942</v>
      </c>
      <c r="Q248" t="s">
        <v>1134</v>
      </c>
      <c r="S248" t="s">
        <v>18</v>
      </c>
      <c r="T248" t="s">
        <v>18</v>
      </c>
    </row>
    <row r="249" spans="1:20">
      <c r="A249" t="str">
        <f t="shared" si="3"/>
        <v>NodeRed-16-000248</v>
      </c>
      <c r="B249" t="s">
        <v>18</v>
      </c>
      <c r="C249" s="3" t="s">
        <v>19</v>
      </c>
      <c r="D249" s="3" t="s">
        <v>20</v>
      </c>
      <c r="E249" s="3" t="s">
        <v>21</v>
      </c>
      <c r="F249" s="4" t="s">
        <v>22</v>
      </c>
      <c r="G249" s="3" t="s">
        <v>23</v>
      </c>
      <c r="H249" t="s">
        <v>1135</v>
      </c>
      <c r="I249" t="s">
        <v>25</v>
      </c>
      <c r="J249" s="6">
        <v>46014</v>
      </c>
      <c r="K249" t="s">
        <v>1136</v>
      </c>
      <c r="L249" t="s">
        <v>18</v>
      </c>
      <c r="M249" s="3" t="s">
        <v>27</v>
      </c>
      <c r="N249" t="s">
        <v>1137</v>
      </c>
      <c r="O249" t="s">
        <v>18</v>
      </c>
      <c r="P249" t="s">
        <v>892</v>
      </c>
      <c r="Q249" t="s">
        <v>1138</v>
      </c>
      <c r="S249" t="s">
        <v>18</v>
      </c>
      <c r="T249" t="s">
        <v>18</v>
      </c>
    </row>
    <row r="250" spans="1:20">
      <c r="A250" t="str">
        <f t="shared" si="3"/>
        <v>NodeRed-16-000249</v>
      </c>
      <c r="B250" t="s">
        <v>18</v>
      </c>
      <c r="C250" s="3" t="s">
        <v>19</v>
      </c>
      <c r="D250" s="3" t="s">
        <v>20</v>
      </c>
      <c r="E250" s="3" t="s">
        <v>21</v>
      </c>
      <c r="F250" s="4" t="s">
        <v>22</v>
      </c>
      <c r="G250" s="3" t="s">
        <v>23</v>
      </c>
      <c r="H250" t="s">
        <v>1139</v>
      </c>
      <c r="I250" t="s">
        <v>25</v>
      </c>
      <c r="J250" s="6">
        <v>46014</v>
      </c>
      <c r="K250" t="s">
        <v>1140</v>
      </c>
      <c r="L250" t="s">
        <v>18</v>
      </c>
      <c r="M250" s="3" t="s">
        <v>27</v>
      </c>
      <c r="N250" t="s">
        <v>1141</v>
      </c>
      <c r="O250" t="s">
        <v>18</v>
      </c>
      <c r="P250" t="s">
        <v>1142</v>
      </c>
      <c r="Q250" t="s">
        <v>1143</v>
      </c>
      <c r="S250" t="s">
        <v>18</v>
      </c>
      <c r="T250" t="s">
        <v>18</v>
      </c>
    </row>
    <row r="251" spans="1:20">
      <c r="A251" t="str">
        <f t="shared" si="3"/>
        <v>NodeRed-16-000250</v>
      </c>
      <c r="B251" t="s">
        <v>18</v>
      </c>
      <c r="C251" s="3" t="s">
        <v>19</v>
      </c>
      <c r="D251" s="3" t="s">
        <v>20</v>
      </c>
      <c r="E251" s="3" t="s">
        <v>21</v>
      </c>
      <c r="F251" s="4" t="s">
        <v>22</v>
      </c>
      <c r="G251" s="3" t="s">
        <v>23</v>
      </c>
      <c r="H251" t="s">
        <v>1144</v>
      </c>
      <c r="I251" t="s">
        <v>25</v>
      </c>
      <c r="J251" s="6">
        <v>46014</v>
      </c>
      <c r="K251" t="s">
        <v>1145</v>
      </c>
      <c r="L251" t="s">
        <v>18</v>
      </c>
      <c r="M251" s="3" t="s">
        <v>27</v>
      </c>
      <c r="N251" t="s">
        <v>1146</v>
      </c>
      <c r="O251" t="s">
        <v>18</v>
      </c>
      <c r="P251" t="s">
        <v>252</v>
      </c>
      <c r="Q251" t="s">
        <v>1147</v>
      </c>
      <c r="S251" t="s">
        <v>18</v>
      </c>
      <c r="T251" t="s">
        <v>18</v>
      </c>
    </row>
    <row r="252" spans="1:20">
      <c r="A252" t="str">
        <f t="shared" si="3"/>
        <v>NodeRed-16-000251</v>
      </c>
      <c r="B252" t="s">
        <v>18</v>
      </c>
      <c r="C252" s="3" t="s">
        <v>19</v>
      </c>
      <c r="D252" s="3" t="s">
        <v>20</v>
      </c>
      <c r="E252" s="3" t="s">
        <v>21</v>
      </c>
      <c r="F252" s="4" t="s">
        <v>22</v>
      </c>
      <c r="G252" s="3" t="s">
        <v>23</v>
      </c>
      <c r="H252" t="s">
        <v>331</v>
      </c>
      <c r="I252" t="s">
        <v>25</v>
      </c>
      <c r="J252" s="6">
        <v>46014</v>
      </c>
      <c r="K252" t="s">
        <v>1148</v>
      </c>
      <c r="L252" t="s">
        <v>18</v>
      </c>
      <c r="M252" s="3" t="s">
        <v>27</v>
      </c>
      <c r="N252" t="s">
        <v>1149</v>
      </c>
      <c r="O252" t="s">
        <v>18</v>
      </c>
      <c r="P252" t="s">
        <v>49</v>
      </c>
      <c r="Q252" t="s">
        <v>1150</v>
      </c>
      <c r="S252" t="s">
        <v>18</v>
      </c>
      <c r="T252" t="s">
        <v>18</v>
      </c>
    </row>
    <row r="253" spans="1:20">
      <c r="A253" t="str">
        <f t="shared" si="3"/>
        <v>NodeRed-16-000252</v>
      </c>
      <c r="B253" t="s">
        <v>18</v>
      </c>
      <c r="C253" s="3" t="s">
        <v>19</v>
      </c>
      <c r="D253" s="3" t="s">
        <v>20</v>
      </c>
      <c r="E253" s="3" t="s">
        <v>21</v>
      </c>
      <c r="F253" s="4" t="s">
        <v>22</v>
      </c>
      <c r="G253" s="3" t="s">
        <v>23</v>
      </c>
      <c r="H253" t="s">
        <v>1151</v>
      </c>
      <c r="I253" t="s">
        <v>25</v>
      </c>
      <c r="J253" s="6">
        <v>46014</v>
      </c>
      <c r="K253" t="s">
        <v>1152</v>
      </c>
      <c r="L253" t="s">
        <v>18</v>
      </c>
      <c r="M253" s="3" t="s">
        <v>27</v>
      </c>
      <c r="N253" t="s">
        <v>1153</v>
      </c>
      <c r="O253" t="s">
        <v>18</v>
      </c>
      <c r="P253" t="s">
        <v>1154</v>
      </c>
      <c r="Q253" t="s">
        <v>1155</v>
      </c>
      <c r="S253" t="s">
        <v>18</v>
      </c>
      <c r="T253" t="s">
        <v>18</v>
      </c>
    </row>
    <row r="254" spans="1:20">
      <c r="A254" t="str">
        <f t="shared" si="3"/>
        <v>NodeRed-16-000253</v>
      </c>
      <c r="B254" t="s">
        <v>18</v>
      </c>
      <c r="C254" s="3" t="s">
        <v>19</v>
      </c>
      <c r="D254" s="3" t="s">
        <v>20</v>
      </c>
      <c r="E254" s="3" t="s">
        <v>21</v>
      </c>
      <c r="F254" s="4" t="s">
        <v>22</v>
      </c>
      <c r="G254" s="3" t="s">
        <v>23</v>
      </c>
      <c r="H254" t="s">
        <v>1156</v>
      </c>
      <c r="I254" t="s">
        <v>25</v>
      </c>
      <c r="J254" s="6">
        <v>46014</v>
      </c>
      <c r="K254" t="s">
        <v>1157</v>
      </c>
      <c r="L254" t="s">
        <v>18</v>
      </c>
      <c r="M254" s="3" t="s">
        <v>27</v>
      </c>
      <c r="N254" t="s">
        <v>1158</v>
      </c>
      <c r="O254" t="s">
        <v>18</v>
      </c>
      <c r="P254" t="s">
        <v>588</v>
      </c>
      <c r="Q254" t="s">
        <v>1159</v>
      </c>
      <c r="S254" t="s">
        <v>18</v>
      </c>
      <c r="T254" t="s">
        <v>18</v>
      </c>
    </row>
    <row r="255" spans="1:20">
      <c r="A255" t="str">
        <f t="shared" si="3"/>
        <v>NodeRed-16-000254</v>
      </c>
      <c r="B255" t="s">
        <v>18</v>
      </c>
      <c r="C255" s="3" t="s">
        <v>19</v>
      </c>
      <c r="D255" s="3" t="s">
        <v>20</v>
      </c>
      <c r="E255" s="3" t="s">
        <v>21</v>
      </c>
      <c r="F255" s="4" t="s">
        <v>22</v>
      </c>
      <c r="G255" s="3" t="s">
        <v>23</v>
      </c>
      <c r="H255" t="s">
        <v>1160</v>
      </c>
      <c r="I255" t="s">
        <v>25</v>
      </c>
      <c r="J255" s="6">
        <v>46014</v>
      </c>
      <c r="K255" t="s">
        <v>1161</v>
      </c>
      <c r="L255" t="s">
        <v>18</v>
      </c>
      <c r="M255" s="3" t="s">
        <v>27</v>
      </c>
      <c r="N255" t="s">
        <v>1162</v>
      </c>
      <c r="O255" t="s">
        <v>18</v>
      </c>
      <c r="P255" t="s">
        <v>364</v>
      </c>
      <c r="Q255" t="s">
        <v>1163</v>
      </c>
      <c r="S255" t="s">
        <v>18</v>
      </c>
      <c r="T255" t="s">
        <v>18</v>
      </c>
    </row>
    <row r="256" spans="1:20">
      <c r="A256" t="str">
        <f t="shared" si="3"/>
        <v>NodeRed-16-000255</v>
      </c>
      <c r="B256" t="s">
        <v>18</v>
      </c>
      <c r="C256" s="3" t="s">
        <v>19</v>
      </c>
      <c r="D256" s="3" t="s">
        <v>20</v>
      </c>
      <c r="E256" s="3" t="s">
        <v>21</v>
      </c>
      <c r="F256" s="4" t="s">
        <v>22</v>
      </c>
      <c r="G256" s="3" t="s">
        <v>23</v>
      </c>
      <c r="H256" t="s">
        <v>1164</v>
      </c>
      <c r="I256" t="s">
        <v>25</v>
      </c>
      <c r="J256" s="6">
        <v>46014</v>
      </c>
      <c r="K256" t="s">
        <v>1165</v>
      </c>
      <c r="L256" t="s">
        <v>18</v>
      </c>
      <c r="M256" s="3" t="s">
        <v>27</v>
      </c>
      <c r="N256" t="s">
        <v>1166</v>
      </c>
      <c r="O256" t="s">
        <v>18</v>
      </c>
      <c r="P256" t="s">
        <v>151</v>
      </c>
      <c r="Q256" t="s">
        <v>1167</v>
      </c>
      <c r="S256" t="s">
        <v>18</v>
      </c>
      <c r="T256" t="s">
        <v>18</v>
      </c>
    </row>
    <row r="257" spans="1:20">
      <c r="A257" t="str">
        <f t="shared" si="3"/>
        <v>NodeRed-16-000256</v>
      </c>
      <c r="B257" t="s">
        <v>18</v>
      </c>
      <c r="C257" s="3" t="s">
        <v>19</v>
      </c>
      <c r="D257" s="3" t="s">
        <v>20</v>
      </c>
      <c r="E257" s="3" t="s">
        <v>21</v>
      </c>
      <c r="F257" s="4" t="s">
        <v>22</v>
      </c>
      <c r="G257" s="3" t="s">
        <v>23</v>
      </c>
      <c r="H257" t="s">
        <v>1168</v>
      </c>
      <c r="I257" t="s">
        <v>25</v>
      </c>
      <c r="J257" s="6">
        <v>46014</v>
      </c>
      <c r="K257" t="s">
        <v>1169</v>
      </c>
      <c r="L257" t="s">
        <v>18</v>
      </c>
      <c r="M257" s="3" t="s">
        <v>27</v>
      </c>
      <c r="N257" t="s">
        <v>1170</v>
      </c>
      <c r="O257" t="s">
        <v>18</v>
      </c>
      <c r="P257" t="s">
        <v>1171</v>
      </c>
      <c r="Q257" t="s">
        <v>1172</v>
      </c>
      <c r="S257" t="s">
        <v>18</v>
      </c>
      <c r="T257" t="s">
        <v>18</v>
      </c>
    </row>
    <row r="258" spans="1:20">
      <c r="A258" t="str">
        <f t="shared" ref="A258:A269" si="4">_xlfn.CONCAT("NodeRed-16-",TEXT(ROW()-1,"000000"))</f>
        <v>NodeRed-16-000257</v>
      </c>
      <c r="B258" t="s">
        <v>18</v>
      </c>
      <c r="C258" s="3" t="s">
        <v>19</v>
      </c>
      <c r="D258" s="3" t="s">
        <v>20</v>
      </c>
      <c r="E258" s="3" t="s">
        <v>21</v>
      </c>
      <c r="F258" s="4" t="s">
        <v>22</v>
      </c>
      <c r="G258" s="3" t="s">
        <v>23</v>
      </c>
      <c r="H258" t="s">
        <v>1173</v>
      </c>
      <c r="I258" t="s">
        <v>25</v>
      </c>
      <c r="J258" s="6">
        <v>46014</v>
      </c>
      <c r="K258" t="s">
        <v>1174</v>
      </c>
      <c r="L258" t="s">
        <v>18</v>
      </c>
      <c r="M258" s="3" t="s">
        <v>27</v>
      </c>
      <c r="N258" t="s">
        <v>1175</v>
      </c>
      <c r="O258" t="s">
        <v>18</v>
      </c>
      <c r="P258" t="s">
        <v>1176</v>
      </c>
      <c r="Q258" t="s">
        <v>1177</v>
      </c>
      <c r="S258" t="s">
        <v>18</v>
      </c>
      <c r="T258" t="s">
        <v>18</v>
      </c>
    </row>
    <row r="259" spans="1:20">
      <c r="A259" t="str">
        <f t="shared" si="4"/>
        <v>NodeRed-16-000258</v>
      </c>
      <c r="B259" t="s">
        <v>18</v>
      </c>
      <c r="C259" s="3" t="s">
        <v>19</v>
      </c>
      <c r="D259" s="3" t="s">
        <v>20</v>
      </c>
      <c r="E259" s="3" t="s">
        <v>21</v>
      </c>
      <c r="F259" s="4" t="s">
        <v>22</v>
      </c>
      <c r="G259" s="3" t="s">
        <v>23</v>
      </c>
      <c r="H259" t="s">
        <v>1178</v>
      </c>
      <c r="I259" t="s">
        <v>25</v>
      </c>
      <c r="J259" s="6">
        <v>46014</v>
      </c>
      <c r="K259" t="s">
        <v>1179</v>
      </c>
      <c r="L259" t="s">
        <v>18</v>
      </c>
      <c r="M259" s="3" t="s">
        <v>27</v>
      </c>
      <c r="N259" t="s">
        <v>1180</v>
      </c>
      <c r="O259" t="s">
        <v>18</v>
      </c>
      <c r="P259" t="s">
        <v>1181</v>
      </c>
      <c r="Q259" t="s">
        <v>1182</v>
      </c>
      <c r="S259" t="s">
        <v>18</v>
      </c>
      <c r="T259" t="s">
        <v>18</v>
      </c>
    </row>
    <row r="260" spans="1:20">
      <c r="A260" t="str">
        <f t="shared" si="4"/>
        <v>NodeRed-16-000259</v>
      </c>
      <c r="B260" t="s">
        <v>18</v>
      </c>
      <c r="C260" s="3" t="s">
        <v>19</v>
      </c>
      <c r="D260" s="3" t="s">
        <v>20</v>
      </c>
      <c r="E260" s="3" t="s">
        <v>21</v>
      </c>
      <c r="F260" s="4" t="s">
        <v>22</v>
      </c>
      <c r="G260" s="3" t="s">
        <v>23</v>
      </c>
      <c r="H260" t="s">
        <v>1183</v>
      </c>
      <c r="I260" t="s">
        <v>25</v>
      </c>
      <c r="J260" s="6">
        <v>46014</v>
      </c>
      <c r="K260" t="s">
        <v>1184</v>
      </c>
      <c r="L260" t="s">
        <v>18</v>
      </c>
      <c r="M260" s="3" t="s">
        <v>27</v>
      </c>
      <c r="N260" t="s">
        <v>1185</v>
      </c>
      <c r="O260" t="s">
        <v>18</v>
      </c>
      <c r="P260" t="s">
        <v>1186</v>
      </c>
      <c r="Q260" t="s">
        <v>1187</v>
      </c>
      <c r="S260" t="s">
        <v>18</v>
      </c>
      <c r="T260" t="s">
        <v>18</v>
      </c>
    </row>
    <row r="261" spans="1:20">
      <c r="A261" t="str">
        <f t="shared" si="4"/>
        <v>NodeRed-16-000260</v>
      </c>
      <c r="B261" t="s">
        <v>18</v>
      </c>
      <c r="C261" s="3" t="s">
        <v>19</v>
      </c>
      <c r="D261" s="3" t="s">
        <v>20</v>
      </c>
      <c r="E261" s="3" t="s">
        <v>21</v>
      </c>
      <c r="F261" s="4" t="s">
        <v>22</v>
      </c>
      <c r="G261" s="3" t="s">
        <v>23</v>
      </c>
      <c r="H261" t="s">
        <v>1188</v>
      </c>
      <c r="I261" t="s">
        <v>25</v>
      </c>
      <c r="J261" s="6">
        <v>46014</v>
      </c>
      <c r="K261" t="s">
        <v>1189</v>
      </c>
      <c r="L261" t="s">
        <v>18</v>
      </c>
      <c r="M261" s="3" t="s">
        <v>27</v>
      </c>
      <c r="N261" t="s">
        <v>1190</v>
      </c>
      <c r="O261" t="s">
        <v>18</v>
      </c>
      <c r="P261" t="s">
        <v>117</v>
      </c>
      <c r="Q261" t="s">
        <v>1191</v>
      </c>
      <c r="S261" t="s">
        <v>18</v>
      </c>
      <c r="T261" t="s">
        <v>18</v>
      </c>
    </row>
    <row r="262" spans="1:20">
      <c r="A262" t="str">
        <f t="shared" si="4"/>
        <v>NodeRed-16-000261</v>
      </c>
      <c r="B262" t="s">
        <v>18</v>
      </c>
      <c r="C262" s="3" t="s">
        <v>19</v>
      </c>
      <c r="D262" s="3" t="s">
        <v>20</v>
      </c>
      <c r="E262" s="3" t="s">
        <v>21</v>
      </c>
      <c r="F262" s="4" t="s">
        <v>22</v>
      </c>
      <c r="G262" s="3" t="s">
        <v>23</v>
      </c>
      <c r="H262" t="s">
        <v>1192</v>
      </c>
      <c r="I262" t="s">
        <v>25</v>
      </c>
      <c r="J262" s="6">
        <v>46014</v>
      </c>
      <c r="K262" t="s">
        <v>1193</v>
      </c>
      <c r="L262" t="s">
        <v>18</v>
      </c>
      <c r="M262" s="3" t="s">
        <v>27</v>
      </c>
      <c r="N262" t="s">
        <v>1194</v>
      </c>
      <c r="O262" t="s">
        <v>18</v>
      </c>
      <c r="P262" t="s">
        <v>1096</v>
      </c>
      <c r="Q262" t="s">
        <v>1195</v>
      </c>
      <c r="S262" t="s">
        <v>18</v>
      </c>
      <c r="T262" t="s">
        <v>18</v>
      </c>
    </row>
    <row r="263" spans="1:20">
      <c r="A263" t="str">
        <f t="shared" si="4"/>
        <v>NodeRed-16-000262</v>
      </c>
      <c r="B263" t="s">
        <v>18</v>
      </c>
      <c r="C263" s="3" t="s">
        <v>19</v>
      </c>
      <c r="D263" s="3" t="s">
        <v>20</v>
      </c>
      <c r="E263" s="3" t="s">
        <v>21</v>
      </c>
      <c r="F263" s="4" t="s">
        <v>22</v>
      </c>
      <c r="G263" s="3" t="s">
        <v>23</v>
      </c>
      <c r="H263" t="s">
        <v>456</v>
      </c>
      <c r="I263" t="s">
        <v>25</v>
      </c>
      <c r="J263" s="6">
        <v>46014</v>
      </c>
      <c r="K263" t="s">
        <v>1196</v>
      </c>
      <c r="L263" t="s">
        <v>18</v>
      </c>
      <c r="M263" s="3" t="s">
        <v>27</v>
      </c>
      <c r="N263" t="s">
        <v>1197</v>
      </c>
      <c r="O263" t="s">
        <v>18</v>
      </c>
      <c r="P263" t="s">
        <v>1198</v>
      </c>
      <c r="Q263" t="s">
        <v>1199</v>
      </c>
      <c r="S263" t="s">
        <v>18</v>
      </c>
      <c r="T263" t="s">
        <v>18</v>
      </c>
    </row>
    <row r="264" spans="1:20">
      <c r="A264" t="str">
        <f t="shared" si="4"/>
        <v>NodeRed-16-000263</v>
      </c>
      <c r="B264" t="s">
        <v>18</v>
      </c>
      <c r="C264" s="3" t="s">
        <v>19</v>
      </c>
      <c r="D264" s="3" t="s">
        <v>20</v>
      </c>
      <c r="E264" s="3" t="s">
        <v>21</v>
      </c>
      <c r="F264" s="4" t="s">
        <v>22</v>
      </c>
      <c r="G264" s="3" t="s">
        <v>23</v>
      </c>
      <c r="H264" t="s">
        <v>1200</v>
      </c>
      <c r="I264" t="s">
        <v>25</v>
      </c>
      <c r="J264" s="6">
        <v>46014</v>
      </c>
      <c r="K264" t="s">
        <v>1201</v>
      </c>
      <c r="L264" t="s">
        <v>18</v>
      </c>
      <c r="M264" s="3" t="s">
        <v>27</v>
      </c>
      <c r="N264" t="s">
        <v>1202</v>
      </c>
      <c r="O264" t="s">
        <v>18</v>
      </c>
      <c r="P264" t="s">
        <v>186</v>
      </c>
      <c r="Q264" t="s">
        <v>1203</v>
      </c>
      <c r="S264" t="s">
        <v>18</v>
      </c>
      <c r="T264" t="s">
        <v>18</v>
      </c>
    </row>
    <row r="265" spans="1:20">
      <c r="A265" t="str">
        <f t="shared" si="4"/>
        <v>NodeRed-16-000264</v>
      </c>
      <c r="B265" t="s">
        <v>18</v>
      </c>
      <c r="C265" s="3" t="s">
        <v>19</v>
      </c>
      <c r="D265" s="3" t="s">
        <v>20</v>
      </c>
      <c r="E265" s="3" t="s">
        <v>21</v>
      </c>
      <c r="F265" s="4" t="s">
        <v>22</v>
      </c>
      <c r="G265" s="3" t="s">
        <v>23</v>
      </c>
      <c r="H265" t="s">
        <v>1204</v>
      </c>
      <c r="I265" t="s">
        <v>25</v>
      </c>
      <c r="J265" s="6">
        <v>46014</v>
      </c>
      <c r="K265" t="s">
        <v>1205</v>
      </c>
      <c r="L265" t="s">
        <v>18</v>
      </c>
      <c r="M265" s="3" t="s">
        <v>27</v>
      </c>
      <c r="N265" t="s">
        <v>1206</v>
      </c>
      <c r="O265" t="s">
        <v>18</v>
      </c>
      <c r="P265" t="s">
        <v>296</v>
      </c>
      <c r="Q265" t="s">
        <v>1207</v>
      </c>
      <c r="S265" t="s">
        <v>18</v>
      </c>
      <c r="T265" t="s">
        <v>18</v>
      </c>
    </row>
    <row r="266" spans="1:20">
      <c r="A266" t="str">
        <f t="shared" si="4"/>
        <v>NodeRed-16-000265</v>
      </c>
      <c r="B266" t="s">
        <v>18</v>
      </c>
      <c r="C266" s="3" t="s">
        <v>19</v>
      </c>
      <c r="D266" s="3" t="s">
        <v>20</v>
      </c>
      <c r="E266" s="3" t="s">
        <v>21</v>
      </c>
      <c r="F266" s="4" t="s">
        <v>22</v>
      </c>
      <c r="G266" s="3" t="s">
        <v>23</v>
      </c>
      <c r="H266" t="s">
        <v>1208</v>
      </c>
      <c r="I266" t="s">
        <v>25</v>
      </c>
      <c r="J266" s="6">
        <v>46014</v>
      </c>
      <c r="K266" t="s">
        <v>1209</v>
      </c>
      <c r="L266" t="s">
        <v>18</v>
      </c>
      <c r="M266" s="3" t="s">
        <v>27</v>
      </c>
      <c r="N266" t="s">
        <v>1210</v>
      </c>
      <c r="O266" t="s">
        <v>18</v>
      </c>
      <c r="P266" t="s">
        <v>1211</v>
      </c>
      <c r="Q266" t="s">
        <v>1212</v>
      </c>
      <c r="S266" t="s">
        <v>18</v>
      </c>
      <c r="T266" t="s">
        <v>18</v>
      </c>
    </row>
    <row r="267" spans="1:20">
      <c r="A267" t="str">
        <f t="shared" si="4"/>
        <v>NodeRed-16-000266</v>
      </c>
      <c r="B267" t="s">
        <v>18</v>
      </c>
      <c r="C267" s="3" t="s">
        <v>19</v>
      </c>
      <c r="D267" s="3" t="s">
        <v>20</v>
      </c>
      <c r="E267" s="3" t="s">
        <v>21</v>
      </c>
      <c r="F267" s="4" t="s">
        <v>22</v>
      </c>
      <c r="G267" s="3" t="s">
        <v>23</v>
      </c>
      <c r="H267" t="s">
        <v>1114</v>
      </c>
      <c r="I267" t="s">
        <v>25</v>
      </c>
      <c r="J267" s="6">
        <v>46014</v>
      </c>
      <c r="K267" t="s">
        <v>1213</v>
      </c>
      <c r="L267" t="s">
        <v>18</v>
      </c>
      <c r="M267" s="3" t="s">
        <v>27</v>
      </c>
      <c r="N267" t="s">
        <v>1214</v>
      </c>
      <c r="O267" t="s">
        <v>18</v>
      </c>
      <c r="P267" t="s">
        <v>1215</v>
      </c>
      <c r="Q267" t="s">
        <v>1216</v>
      </c>
      <c r="S267" t="s">
        <v>18</v>
      </c>
      <c r="T267" t="s">
        <v>18</v>
      </c>
    </row>
    <row r="268" spans="1:20">
      <c r="A268" t="str">
        <f t="shared" si="4"/>
        <v>NodeRed-16-000267</v>
      </c>
      <c r="B268" t="s">
        <v>18</v>
      </c>
      <c r="C268" s="3" t="s">
        <v>19</v>
      </c>
      <c r="D268" s="3" t="s">
        <v>20</v>
      </c>
      <c r="E268" s="3" t="s">
        <v>21</v>
      </c>
      <c r="F268" s="4" t="s">
        <v>22</v>
      </c>
      <c r="G268" s="3" t="s">
        <v>23</v>
      </c>
      <c r="H268" t="s">
        <v>1217</v>
      </c>
      <c r="I268" t="s">
        <v>25</v>
      </c>
      <c r="J268" s="6">
        <v>46014</v>
      </c>
      <c r="K268" t="s">
        <v>1218</v>
      </c>
      <c r="L268" t="s">
        <v>18</v>
      </c>
      <c r="M268" s="3" t="s">
        <v>27</v>
      </c>
      <c r="N268" t="s">
        <v>1219</v>
      </c>
      <c r="O268" t="s">
        <v>18</v>
      </c>
      <c r="P268" t="s">
        <v>1220</v>
      </c>
      <c r="Q268" t="s">
        <v>1221</v>
      </c>
      <c r="S268" t="s">
        <v>18</v>
      </c>
      <c r="T268" t="s">
        <v>18</v>
      </c>
    </row>
    <row r="269" spans="1:20">
      <c r="A269" t="str">
        <f t="shared" si="4"/>
        <v>NodeRed-16-000268</v>
      </c>
      <c r="B269" t="s">
        <v>18</v>
      </c>
      <c r="C269" s="3" t="s">
        <v>19</v>
      </c>
      <c r="D269" s="3" t="s">
        <v>20</v>
      </c>
      <c r="E269" s="3" t="s">
        <v>21</v>
      </c>
      <c r="F269" s="4" t="s">
        <v>22</v>
      </c>
      <c r="G269" s="3" t="s">
        <v>23</v>
      </c>
      <c r="H269" t="s">
        <v>1222</v>
      </c>
      <c r="I269" t="s">
        <v>25</v>
      </c>
      <c r="J269" s="6">
        <v>46014</v>
      </c>
      <c r="K269" t="s">
        <v>1223</v>
      </c>
      <c r="L269" t="s">
        <v>18</v>
      </c>
      <c r="M269" s="3" t="s">
        <v>27</v>
      </c>
      <c r="N269" t="s">
        <v>1224</v>
      </c>
      <c r="O269" t="s">
        <v>18</v>
      </c>
      <c r="P269" t="s">
        <v>69</v>
      </c>
      <c r="Q269" t="s">
        <v>1225</v>
      </c>
      <c r="S269" t="s">
        <v>18</v>
      </c>
      <c r="T269" t="s">
        <v>18</v>
      </c>
    </row>
  </sheetData>
  <sheetProtection formatCells="0" insertHyperlinks="0" autoFilter="0"/>
  <pageMargins left="0.7" right="0.7" top="0.75" bottom="0.75" header="0.3" footer="0.3"/>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L40"/>
  <sheetViews>
    <sheetView zoomScale="140" zoomScaleNormal="140" workbookViewId="0">
      <selection activeCell="O5" sqref="A5:O5"/>
    </sheetView>
  </sheetViews>
  <sheetFormatPr defaultColWidth="9" defaultRowHeight="14.25"/>
  <cols>
    <col min="1" max="1" width="27.6" customWidth="1"/>
    <col min="3" max="3" width="38.5333333333333" customWidth="1"/>
    <col min="4" max="4" width="11.5333333333333" customWidth="1"/>
    <col min="11" max="11" width="12.7333333333333" customWidth="1"/>
  </cols>
  <sheetData>
    <row r="1" spans="1:12">
      <c r="A1" t="s">
        <v>1226</v>
      </c>
      <c r="B1" t="s">
        <v>1227</v>
      </c>
      <c r="C1" t="s">
        <v>1228</v>
      </c>
      <c r="D1" t="s">
        <v>1229</v>
      </c>
      <c r="E1" t="s">
        <v>1230</v>
      </c>
      <c r="F1" t="s">
        <v>1231</v>
      </c>
      <c r="G1" t="s">
        <v>1232</v>
      </c>
      <c r="H1" t="s">
        <v>1233</v>
      </c>
      <c r="I1" t="s">
        <v>1234</v>
      </c>
      <c r="J1" t="s">
        <v>1235</v>
      </c>
      <c r="K1" t="s">
        <v>1236</v>
      </c>
      <c r="L1" t="s">
        <v>1237</v>
      </c>
    </row>
    <row r="2" spans="1:12">
      <c r="A2" t="s">
        <v>1238</v>
      </c>
      <c r="B2" t="s">
        <v>1239</v>
      </c>
      <c r="C2" t="s">
        <v>1240</v>
      </c>
      <c r="D2" t="s">
        <v>1241</v>
      </c>
      <c r="E2" t="s">
        <v>1242</v>
      </c>
      <c r="F2" t="s">
        <v>1243</v>
      </c>
      <c r="G2" t="s">
        <v>1244</v>
      </c>
      <c r="H2" t="s">
        <v>1245</v>
      </c>
      <c r="I2" t="s">
        <v>1246</v>
      </c>
      <c r="J2" t="s">
        <v>1247</v>
      </c>
      <c r="K2" t="s">
        <v>1243</v>
      </c>
      <c r="L2" t="s">
        <v>1248</v>
      </c>
    </row>
    <row r="40" spans="10:10">
      <c r="J40" s="1"/>
    </row>
  </sheetData>
  <sheetProtection formatCells="0" insertHyperlinks="0" autoFilter="0"/>
  <pageMargins left="0.7" right="0.7" top="0.75" bottom="0.75" header="0.3" footer="0.3"/>
  <headerFooter/>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item1.xml><?xml version="1.0" encoding="utf-8"?>
<woProps xmlns="https://web.wps.cn/et/2018/main" xmlns:s="http://schemas.openxmlformats.org/spreadsheetml/2006/main">
  <woSheetsProps>
    <woSheetProps sheetStid="1" interlineOnOff="0" interlineColor="0" isDbSheet="0" isDashBoardSheet="0" isDbDashBoardSheet="0" isFlexPaperSheet="0">
      <cellprotection/>
      <appEtDbRelations/>
    </woSheetProps>
    <woSheetProps sheetStid="2" interlineOnOff="0" interlineColor="0" isDbSheet="0" isDashBoardSheet="0" isDbDashBoardSheet="0" isFlexPaperSheet="0">
      <cellprotection/>
      <appEtDbRelations/>
    </woSheetProps>
  </woSheetsProps>
  <woBookProps>
    <bookSettings isFilterShared="1" coreConquerUserId="" isAutoUpdatePaused="0" filterType="conn" isMergeTasksAutoUpdate="0" isInserPicAsAttachment="0"/>
  </woBookProps>
</woProps>
</file>

<file path=customXml/item2.xml><?xml version="1.0" encoding="utf-8"?>
<pixelators xmlns="https://web.wps.cn/et/2018/main" xmlns:s="http://schemas.openxmlformats.org/spreadsheetml/2006/main">
  <pixelatorList sheetStid="1"/>
  <pixelatorList sheetStid="2"/>
  <pixelatorList sheetStid="3"/>
</pixelators>
</file>

<file path=customXml/itemProps1.xml><?xml version="1.0" encoding="utf-8"?>
<ds:datastoreItem xmlns:ds="http://schemas.openxmlformats.org/officeDocument/2006/customXml" ds:itemID="{06C82605-B75B-4693-9329-32AAD527C692}">
  <ds:schemaRefs>
    <ds:schemaRef ds:uri="https://web.wps.cn/et/2018/main"/>
    <ds:schemaRef ds:uri="http://schemas.openxmlformats.org/spreadsheetml/2006/main"/>
  </ds:schemaRefs>
</ds:datastoreItem>
</file>

<file path=customXml/itemProps2.xml><?xml version="1.0" encoding="utf-8"?>
<ds:datastoreItem xmlns:ds="http://schemas.openxmlformats.org/officeDocument/2006/customXml" ds:itemID="{224D003E-15C9-4FFE-AB16-9E66474EAE4E}">
  <ds:schemaRefs>
    <ds:schemaRef ds:uri="https://web.wps.cn/et/2018/main"/>
    <ds:schemaRef ds:uri="http://schemas.openxmlformats.org/spreadsheetml/2006/main"/>
  </ds:schemaRefs>
</ds:datastoreItem>
</file>

<file path=docProps/app.xml><?xml version="1.0" encoding="utf-8"?>
<Properties xmlns="http://schemas.openxmlformats.org/officeDocument/2006/extended-properties" xmlns:vt="http://schemas.openxmlformats.org/officeDocument/2006/docPropsVTypes">
  <Application>WPS Office WWO_wpscloud_20230718170107-99701b6a8c</Application>
  <HeadingPairs>
    <vt:vector size="2" baseType="variant">
      <vt:variant>
        <vt:lpstr>工作表</vt:lpstr>
      </vt:variant>
      <vt:variant>
        <vt:i4>2</vt:i4>
      </vt:variant>
    </vt:vector>
  </HeadingPairs>
  <TitlesOfParts>
    <vt:vector size="2" baseType="lpstr">
      <vt:lpstr>汇总表</vt:lpstr>
      <vt:lpstr>全文字</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myspring</dc:creator>
  <cp:lastModifiedBy>Jerry Hike</cp:lastModifiedBy>
  <dcterms:created xsi:type="dcterms:W3CDTF">2015-06-06T18:19:00Z</dcterms:created>
  <dcterms:modified xsi:type="dcterms:W3CDTF">2026-01-23T19:23:00Z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KSOProductBuildVer">
    <vt:lpwstr>2052-0.0.0.0</vt:lpwstr>
  </property>
</Properties>
</file>