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795" windowHeight="12975"/>
  </bookViews>
  <sheets>
    <sheet name="汇总表" sheetId="1" r:id="rId1"/>
    <sheet name="全文字" sheetId="2" r:id="rId2"/>
  </sheets>
  <calcPr calcId="144525"/>
</workbook>
</file>

<file path=xl/sharedStrings.xml><?xml version="1.0" encoding="utf-8"?>
<sst xmlns="http://schemas.openxmlformats.org/spreadsheetml/2006/main" count="1470" uniqueCount="438">
  <si>
    <t>模板id</t>
  </si>
  <si>
    <t>模板名</t>
  </si>
  <si>
    <t>标签1. 语言和框架</t>
  </si>
  <si>
    <t>标签2. 文件后缀</t>
  </si>
  <si>
    <t>标签3. 用户库或Schema</t>
  </si>
  <si>
    <t>标签4. 原生模板/子模板/组合模板</t>
  </si>
  <si>
    <t>标签5. 领域</t>
  </si>
  <si>
    <t>标签6. 功能</t>
  </si>
  <si>
    <t>提交者</t>
  </si>
  <si>
    <t>更新时间</t>
  </si>
  <si>
    <t>模板描述</t>
  </si>
  <si>
    <t>模板示例图片地址</t>
  </si>
  <si>
    <t>压缩包</t>
  </si>
  <si>
    <t>文件名</t>
  </si>
  <si>
    <t>代码地址</t>
  </si>
  <si>
    <t>文件所在仓库</t>
  </si>
  <si>
    <t>文件来源</t>
  </si>
  <si>
    <t>代码</t>
  </si>
  <si>
    <t/>
  </si>
  <si>
    <t>NodeRed模板</t>
  </si>
  <si>
    <t>json</t>
  </si>
  <si>
    <t>NodeRed</t>
  </si>
  <si>
    <t>原生模板</t>
  </si>
  <si>
    <t>智慧水务</t>
  </si>
  <si>
    <t>串口数据处理</t>
  </si>
  <si>
    <t>陈乐</t>
  </si>
  <si>
    <t>接收来自串行端口的输入并将其分发至多个节点进行进一步处理。</t>
  </si>
  <si>
    <t>json_nodered_smart_water.tar.gz</t>
  </si>
  <si>
    <t>1.json</t>
  </si>
  <si>
    <t>choyoungyeol/SmartFarm</t>
  </si>
  <si>
    <t>https://github.com/choyoungyeol/SmartFarm/blob/d6a72525544c10003e70d12802583d86a7f845a0/SmartFarm_Ex5.json%2BDB.json</t>
  </si>
  <si>
    <t>语音合成</t>
  </si>
  <si>
    <t>使用IBM Watson服务将文本转换为葡萄牙语音频文件，并返回包含生成的MP3格式音频流的响应。</t>
  </si>
  <si>
    <t>2.json</t>
  </si>
  <si>
    <t>CodeByBreno/Swift-HackaTruck-2024</t>
  </si>
  <si>
    <t>https://github.com/CodeByBreno/Swift-HackaTruck-2024/blob/7214539ac0224168482a8b24fc5e58a74b0d0589/Node-Red/RotasDeTraducao.json</t>
  </si>
  <si>
    <t>触发信号生成</t>
  </si>
  <si>
    <t>构建并发送特定值范围的REDTRG消息给指定Tuya设备，用于触发开关操作。注意使用正确的数据点编号以匹配具体硬件配置。</t>
  </si>
  <si>
    <t>3.json</t>
  </si>
  <si>
    <t>msillano/tuyaDAEMON</t>
  </si>
  <si>
    <t>https://github.com/msillano/tuyaDAEMON/blob/ed41abe5cab6472a516d33343910b08c61840a1f/tuyaDAEMON/tuyaDAEMON.system.2.1.json</t>
  </si>
  <si>
    <t>MQTT连接</t>
  </si>
  <si>
    <t>配置本地主机的MQTT代理以自动连接并设置相关参数，用于后端智能场景通信。</t>
  </si>
  <si>
    <t>4.json</t>
  </si>
  <si>
    <t>AlexKennethMiles/Smart_City_Dashboard_Node-RED</t>
  </si>
  <si>
    <t>https://github.com/AlexKennethMiles/Smart_City_Dashboard_Node-RED/blob/c33d09a0b68d7a7f9f9a603aa0b336cfa03932ac/dashboard.json</t>
  </si>
  <si>
    <t>数据转换</t>
  </si>
  <si>
    <t>将消息负载转换为字符串并通过JSON节点进行格式化处理，随后拆分并路由至不同操作。</t>
  </si>
  <si>
    <t>5.json</t>
  </si>
  <si>
    <t>choyoungyeol/SmartFarm_Book</t>
  </si>
  <si>
    <t>https://github.com/choyoungyeol/SmartFarm_Book/blob/6ce97cc7ab9a00e174d5ae058d45df797c9737b3/223.json</t>
  </si>
  <si>
    <t>MQTT集成</t>
  </si>
  <si>
    <t>通过标准MQTT客户端扩展tuyaDEAMON核心，提供远程控制和数据交换接口，支持智能手机应用和自动化系统。</t>
  </si>
  <si>
    <t>6.json</t>
  </si>
  <si>
    <t>https://github.com/msillano/tuyaDAEMON/blob/ed41abe5cab6472a516d33343910b08c61840a1f/tuyaDAEMON/core_MQTT.2.2.3.json</t>
  </si>
  <si>
    <t>自动喂食器</t>
  </si>
  <si>
    <t>通过IBM IoT接收宠物喂食设备状态事件，解析JSON格式数据以实现自动化喂养控制。</t>
  </si>
  <si>
    <t>7.json</t>
  </si>
  <si>
    <t>smartinternz02/SI-GuidedProject-6912-1639217947</t>
  </si>
  <si>
    <t>https://github.com/smartinternz02/SI-GuidedProject-6912-1639217947/blob/da62b7fe135a38335a071d8f30c89ce290f6186b/Node-red/AutomaticPetFeederFlow.json</t>
  </si>
  <si>
    <t>动态重试</t>
  </si>
  <si>
    <t>转换智能设备状态消息为事件消息，并根据参数实现动态重试策略，支持早绑定和晚绑定机制。</t>
  </si>
  <si>
    <t>8.json</t>
  </si>
  <si>
    <t>https://github.com/msillano/tuyaDAEMON/blob/ed41abe5cab6472a516d33343910b08c61840a1f/tuyaDAEMON/tuyadaemon-core-2.2.2.json</t>
  </si>
  <si>
    <t>系统配置</t>
  </si>
  <si>
    <t>提供多个模块的管理与配置，包括状态机、MODBUS通信、SVG更新和MQTT等功能设置。</t>
  </si>
  <si>
    <t>9.json</t>
  </si>
  <si>
    <t>KronborgSolutions/Firmware</t>
  </si>
  <si>
    <t>https://github.com/KronborgSolutions/Firmware/blob/93b8b83da34124d1d223b828c348e7504521cf9e/ecowater/ecowater001/flows.json</t>
  </si>
  <si>
    <t>天气显示</t>
  </si>
  <si>
    <t>提供基础信息展示，包含复古LCD显示屏、天气小部件及其图标生成，并集成语音播报功能。通过HTTP请求查询REST-API获取数据并动态渲染HTML对象。</t>
  </si>
  <si>
    <t>10.json</t>
  </si>
  <si>
    <t>anonette/lithopia</t>
  </si>
  <si>
    <t>https://github.com/anonette/lithopia/blob/3251bbf8c5a67cda9c09c66c2e780b486a5de491/LithopiaNodeRed.json</t>
  </si>
  <si>
    <t>定时触发应用</t>
  </si>
  <si>
    <t>定时注入当前日期作为载荷并通过指定的应用平台进行处理和执行。</t>
  </si>
  <si>
    <t>11.json</t>
  </si>
  <si>
    <t>colenator123-design/iot-final</t>
  </si>
  <si>
    <t>https://github.com/colenator123-design/iot-final/blob/576075493aa27282391ebc77918a3598641f17ef/flows.json</t>
  </si>
  <si>
    <t>车库门控制</t>
  </si>
  <si>
    <t>接收POST请求以操作车库门状态，通过逻辑函数处理并返回响应。</t>
  </si>
  <si>
    <t>12.json</t>
  </si>
  <si>
    <t>ZsomborAut/SmartSphere</t>
  </si>
  <si>
    <t>https://github.com/ZsomborAut/SmartSphere/blob/84fd489066fa990281be47a137a1343ed0bf7679/flows_SmartSphere.json</t>
  </si>
  <si>
    <t>数据验证</t>
  </si>
  <si>
    <t>接收POST请求并根据有效载荷内容进行字段完整性的校验，将结果状态更新至消息中。</t>
  </si>
  <si>
    <t>13.json</t>
  </si>
  <si>
    <t>milham08330/Embedded-System</t>
  </si>
  <si>
    <t>https://github.com/milham08330/Embedded-System/blob/04e200c87fdf4729123f91f3d4b65ebcb52a36fa/Jobsheet%204/B.%20Transmisi%20Data%20Menggunakan%20Protokol%20HTTP/flow%20program%20Multi-Protocol%20IoT.json</t>
  </si>
  <si>
    <t>智能场景管理</t>
  </si>
  <si>
    <t>提供多种配置项以支持个性化设置和增强用户体验的智能后端场景控制，涵盖从社区互动到多媒体处理等多方面需求。</t>
  </si>
  <si>
    <t>14.json</t>
  </si>
  <si>
    <t>common-repository/bitfire</t>
  </si>
  <si>
    <t>https://github.com/common-repository/bitfire/blob/00590b16d336f288c0220b15c82773378497b751/cache/tokens2.json</t>
  </si>
  <si>
    <t>设备发现与集成</t>
  </si>
  <si>
    <t>支持mDNS、UPnP和网络扫描的WiFi设备自动发现及管理，实现HTTP通信和设备控制。</t>
  </si>
  <si>
    <t>15.json</t>
  </si>
  <si>
    <t>The-CosmicX/Node-Development</t>
  </si>
  <si>
    <t>https://github.com/The-CosmicX/Node-Development/blob/84dc30fc33a59068de0619d7915bb7bbd8c8f44f/cosmicx-backup-20250706-143003/flows/flows-backup-syntax-fix.json</t>
  </si>
  <si>
    <t>温室数据解析</t>
  </si>
  <si>
    <t>从Arduino设备读取串行传感器数据并解析温度、湿度、土壤湿度和光照水平，将其转换为数值格式以供进一步处理。</t>
  </si>
  <si>
    <t>16.json</t>
  </si>
  <si>
    <t>Svetlin56/Diplomna</t>
  </si>
  <si>
    <t>https://github.com/Svetlin56/Diplomna/blob/93d0ab91ff86ed40900abb596ab2ce55c9b69727/Node-RED%20flow.json</t>
  </si>
  <si>
    <t>设备信息设置</t>
  </si>
  <si>
    <t>此子流程负责收集并传输设备的相关信息，通过输入节点接收数据，经处理后由输出节点发送出去。</t>
  </si>
  <si>
    <t>17.json</t>
  </si>
  <si>
    <t>niguibru/SmartLords</t>
  </si>
  <si>
    <t>https://github.com/niguibru/SmartLords/blob/f21453a79fd66920a9fca187d54eba5b4035335e/GardenR/node-red-backup.json</t>
  </si>
  <si>
    <t>18.json</t>
  </si>
  <si>
    <t>https://github.com/The-CosmicX/Node-Development/blob/84dc30fc33a59068de0619d7915bb7bbd8c8f44f/cosmicx-backup-20250706-143003/flows/flows-backup-api-expansion-20250701-173510.json</t>
  </si>
  <si>
    <t>数据图表</t>
  </si>
  <si>
    <t>创建条形图组件用于展示和分析历史数据，支持多种颜色配置及动态更新机制。</t>
  </si>
  <si>
    <t>19.json</t>
  </si>
  <si>
    <t>Nauman3S/SmartWaterMeter-Monitoring</t>
  </si>
  <si>
    <t>https://github.com/Nauman3S/SmartWaterMeter-Monitoring/blob/12d948302603d28383c0075f8ba9a901c24d494c/WebApp/flows.json</t>
  </si>
  <si>
    <t>数据解析</t>
  </si>
  <si>
    <t>接收串行输入，解析数据包并提取温度值进行浮点数转换。</t>
  </si>
  <si>
    <t>20.json</t>
  </si>
  <si>
    <t>https://github.com/choyoungyeol/SmartFarm/blob/d6a72525544c10003e70d12802583d86a7f845a0/Temp_RH_LightBH1750_RTC1302_etal.json</t>
  </si>
  <si>
    <t>实现mDNS/Bonjour、UPnP/SSDP设备发现，支持网络扫描和HTTP/HTTPS通讯，提供全面的设备管理能力。</t>
  </si>
  <si>
    <t>21.json</t>
  </si>
  <si>
    <t>https://github.com/The-CosmicX/Node-Development/blob/84dc30fc33a59068de0619d7915bb7bbd8c8f44f/archives/backups/system/commercial-apis-deployment-20250701-175037/flows-backup.json</t>
  </si>
  <si>
    <t>水表监测</t>
  </si>
  <si>
    <t>读取水表传感器信号并输出数据到调试控制台以监控用水量变化。</t>
  </si>
  <si>
    <t>22.json</t>
  </si>
  <si>
    <t>leonardoARoman/smart-garden</t>
  </si>
  <si>
    <t>https://github.com/leonardoARoman/smart-garden/blob/8b6c0d3a1e5918d6f092aa7d5520b9f55b89263b/nodered/flows.json</t>
  </si>
  <si>
    <t>数据云端传输</t>
  </si>
  <si>
    <t>通过WebSocket监听与客户端通信，从本地数据库读取数据并上传至云服务器的自动化流程。</t>
  </si>
  <si>
    <t>23.json</t>
  </si>
  <si>
    <t>Bujupah/TaktakIndustry</t>
  </si>
  <si>
    <t>https://github.com/Bujupah/TaktakIndustry/blob/57afa44f87cb079ccc1e79744d2165d9451b6019/Assets/ServerNode/flows.json</t>
  </si>
  <si>
    <t>仪表板管理</t>
  </si>
  <si>
    <t>提供仪表板输入、输出、数据库及报告的全面管理，支持自定义报告和特定模块配置。</t>
  </si>
  <si>
    <t>24.json</t>
  </si>
  <si>
    <t>jalilrohi1/SmartHomeSimulation</t>
  </si>
  <si>
    <t>https://github.com/jalilrohi1/SmartHomeSimulation/blob/77214ed0fb76b53a4670364ef459541cc3f585b0/nodredFlows/31-july-2025.json</t>
  </si>
  <si>
    <t>界面配置</t>
  </si>
  <si>
    <t>创建和管理不同功能模块的标签，包括启动设置、用户界面设计以及仪表盘发现等功能面板。</t>
  </si>
  <si>
    <t>25.json</t>
  </si>
  <si>
    <t>stephenhouser/node-red-contrib-flexradio</t>
  </si>
  <si>
    <t>https://github.com/stephenhouser/node-red-contrib-flexradio/blob/02642340e0002215398d888ac7669573c0c72774/development/flows-v6.json</t>
  </si>
  <si>
    <t>定义和配置用户界面主题及基础组件，包括颜色、字体等视觉元素的设定。</t>
  </si>
  <si>
    <t>26.json</t>
  </si>
  <si>
    <t>Saeedha-N/BotaniBuddy</t>
  </si>
  <si>
    <t>https://github.com/Saeedha-N/BotaniBuddy/blob/1081d43b310cef6d367f79c034af82c67eb6d470/NodeRedFlow.json</t>
  </si>
  <si>
    <t>智能喂食器</t>
  </si>
  <si>
    <t>接收物联网设备发送的宠物喂食器状态信息，通过API密钥验证后进行后续处理。</t>
  </si>
  <si>
    <t>27.json</t>
  </si>
  <si>
    <t>smartinternz02/SI-GuidedProject-6913-1639217949</t>
  </si>
  <si>
    <t>https://github.com/smartinternz02/SI-GuidedProject-6913-1639217949/blob/ce4bcb0c3a9a8975d32c441e8647872f34f1e22d/Node-red/AutomaticPetFeederFlow.json</t>
  </si>
  <si>
    <t>错误处理</t>
  </si>
  <si>
    <t>检测请求返回内容，判断是否包含“RequestError”，并进行相应状态更新和全局变量设置。若无异常则继续执行后续逻辑。</t>
  </si>
  <si>
    <t>28.json</t>
  </si>
  <si>
    <t>gdwaterworth/Home-Assistant---E-Linter-Logger---Sunsynk</t>
  </si>
  <si>
    <t>https://github.com/gdwaterworth/Home-Assistant---E-Linter-Logger---Sunsynk/blob/ace67956c4e43b8ab7252917d860cfdc0afaec5b/V2.4/JSON%20-%20Node%20Red%20-%20Flows%20Required.json</t>
  </si>
  <si>
    <t>提供mDNS、UPnP和网络扫描等技术实现的WiFi设备发现及整合，支持HTTP通信和设备管理。</t>
  </si>
  <si>
    <t>29.json</t>
  </si>
  <si>
    <t>https://github.com/The-CosmicX/Node-Development/blob/84dc30fc33a59068de0619d7915bb7bbd8c8f44f/archives/backups/system/commercial-apis-deployment-20250701-175224/flows-backup.json</t>
  </si>
  <si>
    <t>水质监测仿真</t>
  </si>
  <si>
    <t>初始化和重置水质监控设备的仿真状态，设置增强型设备参数和技术指标。</t>
  </si>
  <si>
    <t>30.json</t>
  </si>
  <si>
    <t>VEBST3R/water-monitoring-app</t>
  </si>
  <si>
    <t>https://github.com/VEBST3R/water-monitoring-app/blob/cbcbdcc35a63cfc640e12935e00e56c6becc8751/.node-red/flows.json</t>
  </si>
  <si>
    <t>传感器数据处理</t>
  </si>
  <si>
    <t>通过串行接口接收传感器输入，并将接收到的数据发送到多个节点进行进一步的处理和调试。</t>
  </si>
  <si>
    <t>31.json</t>
  </si>
  <si>
    <t>9lut/Smart_Farm</t>
  </si>
  <si>
    <t>https://github.com/9lut/Smart_Farm/blob/a0969e31bad3236a75fb7da75b525e4479433b51/Odroid/Node-red/Sensor/Sensor.json</t>
  </si>
  <si>
    <t>设备管理</t>
  </si>
  <si>
    <t>收集网关和设备信息，处理状态错误，转换数据编码，保存及发送数据。</t>
  </si>
  <si>
    <t>32.json</t>
  </si>
  <si>
    <t>ThomasHerve/M2M-HERVE-SONZOGNI</t>
  </si>
  <si>
    <t>https://github.com/ThomasHerve/M2M-HERVE-SONZOGNI/blob/283a2dc16cdc1e54e62bd9d05b3cc688b2bb23ec/dashboard/configuration/nodered/flow.json</t>
  </si>
  <si>
    <t>物联网数据处理</t>
  </si>
  <si>
    <t>接收IBM IoT平台ESP32设备事件，过滤并转发消息到指定节点进行调试和后续处理。</t>
  </si>
  <si>
    <t>33.json</t>
  </si>
  <si>
    <t>smartinternz02/SI-GuidedProject-2646-1622443999</t>
  </si>
  <si>
    <t>https://github.com/smartinternz02/SI-GuidedProject-2646-1622443999/blob/1d50114c6e60a364c81d5241bbc98fb02c94c9e2/flows%20.json</t>
  </si>
  <si>
    <t>参数配置</t>
  </si>
  <si>
    <t>从全局变量获取身份验证信息并构造请求头部及负载，向指定URL发起查询数据的HTTP请求。</t>
  </si>
  <si>
    <t>34.json</t>
  </si>
  <si>
    <t>sdavides/AqaraPOST-Homeassistant</t>
  </si>
  <si>
    <t>https://github.com/sdavides/AqaraPOST-Homeassistant/blob/370aed4a39ff32332368eaa9514294bc83d8afb3/Aqara_FP2_nodered.json</t>
  </si>
  <si>
    <t>温控数据读取</t>
  </si>
  <si>
    <t>通过MQTT协议接收并处理来自panasonic_heat_pump设备的Heatpump_State和Pump_Flow状态信息，实现远程监控与管理。</t>
  </si>
  <si>
    <t>35.json</t>
  </si>
  <si>
    <t>edterbak/NodeRed_Heishamon_control</t>
  </si>
  <si>
    <t>https://github.com/edterbak/NodeRed_Heishamon_control/blob/1a4b81ab2af73390365e07a22ed0ecfd5d6ea15a/old_flows/v1/flows%20(export%20v2).json</t>
  </si>
  <si>
    <t>水浸报警</t>
  </si>
  <si>
    <t>接收智能家庭中的水浸传感器状态变化信息，并根据接收到的payload值进行逻辑判断。</t>
  </si>
  <si>
    <t>36.json</t>
  </si>
  <si>
    <t>montaser55/Smart-home</t>
  </si>
  <si>
    <t>https://github.com/montaser55/Smart-home/blob/9f91a839bc03b7ad76b3a8b843598284342e4690/Assignment_1/dataset/scenarios_nodered/flow2.json</t>
  </si>
  <si>
    <t>温控系统数据订阅</t>
  </si>
  <si>
    <t>通过MQTT协议接收和处理来自panasonic_heat_pump设备的热泵状态及水泵流量信息，确保实时监控与自动化控制。</t>
  </si>
  <si>
    <t>37.json</t>
  </si>
  <si>
    <t>https://github.com/edterbak/NodeRed_Heishamon_control/blob/1a4b81ab2af73390365e07a22ed0ecfd5d6ea15a/old_flows/v2/flows%20(export%20v1).json</t>
  </si>
  <si>
    <t>数据刷新</t>
  </si>
  <si>
    <t>通过设置设备ID和最大时间参数，控制特定设备的数据周期性刷新，并支持不同模式的刷新操作。</t>
  </si>
  <si>
    <t>38.json</t>
  </si>
  <si>
    <t>https://github.com/msillano/tuyaDAEMON/blob/ed41abe5cab6472a516d33343910b08c61840a1f/extra/extra.test.2.1.json</t>
  </si>
  <si>
    <t>水位监测</t>
  </si>
  <si>
    <t>读取IBM IoT平台中AkshuDevice设备的水位事件数据，并提取其中的waterlevel字段作为消息负载输出。</t>
  </si>
  <si>
    <t>39.json</t>
  </si>
  <si>
    <t>smartinternz02/SI-GuidedProject-4751-1627031351</t>
  </si>
  <si>
    <t>https://github.com/smartinternz02/SI-GuidedProject-4751-1627031351/blob/e834dee8de0f59d011b7708a99e54fae586b899a/node-red/flows.json</t>
  </si>
  <si>
    <t>扩展tuyaDAEMON核心模块，引入标准MQTT协议接口，支持通用MQTT客户端和手机应用进行远程控制与数据交互。</t>
  </si>
  <si>
    <t>40.json</t>
  </si>
  <si>
    <t>https://github.com/msillano/tuyaDAEMON/blob/ed41abe5cab6472a516d33343910b08c61840a1f/tuyaDAEMON/core.MQTT.2.2.0.json</t>
  </si>
  <si>
    <t>智能场景配置</t>
  </si>
  <si>
    <t>启用并管理一系列后端智能场景功能，包括论坛互动、邮件通知、媒体链接和数据处理等。</t>
  </si>
  <si>
    <t>41.json</t>
  </si>
  <si>
    <t>https://github.com/common-repository/bitfire/blob/00590b16d336f288c0220b15c82773378497b751/data/tokens2.json</t>
  </si>
  <si>
    <t>植物监控</t>
  </si>
  <si>
    <t>提供家庭植物传感器数据查看和水泵控制，支持安全的TLS配置及MQTT消息推送服务。</t>
  </si>
  <si>
    <t>42.json</t>
  </si>
  <si>
    <t>BinOR1/Automatic-Watering-System</t>
  </si>
  <si>
    <t>https://github.com/BinOR1/Automatic-Watering-System/blob/05290497f973fcc7fc83547b7ed0030ee5d52179/node-red-layout/flows.json</t>
  </si>
  <si>
    <t>用户管理</t>
  </si>
  <si>
    <t>提供一系列节点用于处理和管理用户的注册、登录、权限等操作，确保系统安全性与用户体验。</t>
  </si>
  <si>
    <t>43.json</t>
  </si>
  <si>
    <t>alejandrasanchezv/smartWaterPark</t>
  </si>
  <si>
    <t>https://github.com/alejandrasanchezv/smartWaterPark/blob/fab074bc191242950b5f1f0cad49ca79de5e6332/node-red/flows.json</t>
  </si>
  <si>
    <t>智能面板</t>
  </si>
  <si>
    <t>提供SmartChill系统的登录、仪表盘及管理界面，集成通知和控制模块。</t>
  </si>
  <si>
    <t>44.json</t>
  </si>
  <si>
    <t>AlexDuchaine19/SmartChill</t>
  </si>
  <si>
    <t>https://github.com/AlexDuchaine19/SmartChill/blob/ac8d02e90fc6b6da5419b323ca39b0dda4f390a1/nodered_data/projects/SmartChill/flows.json</t>
  </si>
  <si>
    <t>多场景配置</t>
  </si>
  <si>
    <t>实现多种智能设备和系统的独立管理与控制，涵盖显示、灯光效果、温度调节及家庭自动化等不同应用场景。</t>
  </si>
  <si>
    <t>45.json</t>
  </si>
  <si>
    <t>void-spark/node-red-config</t>
  </si>
  <si>
    <t>https://github.com/void-spark/node-red-config/blob/5def85d9ef7d56e9a97db870f0de9cbba78eee86/flows_raspberrypi.json</t>
  </si>
  <si>
    <t>智能家居控制</t>
  </si>
  <si>
    <t>通过ESP8266与HiveMQ Cloud连接，实现对智能家庭环境的监测和调控。</t>
  </si>
  <si>
    <t>46.json</t>
  </si>
  <si>
    <t>dauhavanHaniAI/IoT</t>
  </si>
  <si>
    <t>https://github.com/dauhavanHaniAI/IoT/blob/4b80635fcd3212aae1abfe5632fef4cf11fb3f9b/flow.json</t>
  </si>
  <si>
    <t>接收来自指定串口的输入数据，并将其转发至多个节点进行进一步的数据处理和分析。</t>
  </si>
  <si>
    <t>47.json</t>
  </si>
  <si>
    <t>https://github.com/choyoungyeol/SmartFarm/blob/d6a72525544c10003e70d12802583d86a7f845a0/Temp_RH_RTC1302_Rain_LCD_Water_Pump_LightBH1750_WS.json</t>
  </si>
  <si>
    <t>论坛互动管理</t>
  </si>
  <si>
    <t>提供用户在论坛中发帖、查看帖子及附件信息等功能，并支持邮件通知和社交分享。</t>
  </si>
  <si>
    <t>48.json</t>
  </si>
  <si>
    <t>bitslip6/bitfire</t>
  </si>
  <si>
    <t>https://github.com/bitslip6/bitfire/blob/4f43d92e88fcd0532c3f043578d9989c3f0d082e/firewall/cache/tokens2.json</t>
  </si>
  <si>
    <t>自动开关</t>
  </si>
  <si>
    <t>提供一个自动控制开关的UI界面，允许用户通过切换按钮来开启或关闭自动化流程，并将状态信息发送到指定主题。</t>
  </si>
  <si>
    <t>49.json</t>
  </si>
  <si>
    <t>ghaith-jbali/Smart-Greenhouse-IoT-System</t>
  </si>
  <si>
    <t>https://github.com/ghaith-jbali/Smart-Greenhouse-IoT-System/blob/03cc53bc36b7954639891732f86f9afc5a72628d/greenhouse_automation_flow.json</t>
  </si>
  <si>
    <t>环境监测</t>
  </si>
  <si>
    <t>从设备数据中提取湿度、温度和土壤温湿度信息并进行处理，以便进一步分析与应用。</t>
  </si>
  <si>
    <t>50.json</t>
  </si>
  <si>
    <t>smartinternz02/SI-GuidedProject-4539-1626949378</t>
  </si>
  <si>
    <t>https://github.com/smartinternz02/SI-GuidedProject-4539-1626949378/blob/ba1de581bbe6342fd6fcfc43f14e933b82630eea/NODE-RED-FLOW(JSON).json</t>
  </si>
  <si>
    <t>物联网事件接收</t>
  </si>
  <si>
    <t>通过apiKey认证从IBM IoT平台接收ESP32设备的json格式事件数据并分发处理。</t>
  </si>
  <si>
    <t>51.json</t>
  </si>
  <si>
    <t>smartinternz02/SI-GuidedProject-2645-1622443965</t>
  </si>
  <si>
    <t>https://github.com/smartinternz02/SI-GuidedProject-2645-1622443965/blob/27beabb6a00dcdb3fe79b3647120330daabf334b/flows%20.json</t>
  </si>
  <si>
    <t>环境控制</t>
  </si>
  <si>
    <t>提供温度显示、浇水阀门等多维度智能控制和定制化仪表盘设置的综合管理平台。</t>
  </si>
  <si>
    <t>52.json</t>
  </si>
  <si>
    <t>BeatBard/LoRa-communication-based-smart-farm-project</t>
  </si>
  <si>
    <t>https://github.com/BeatBard/LoRa-communication-based-smart-farm-project/blob/7600fc08ff07e2d0cc4856daee953455fedb5fbb/flows%20(8).json</t>
  </si>
  <si>
    <t>水质监测</t>
  </si>
  <si>
    <t>展示水体中的总溶解固体含量及温度，通过不同颜色区间指示水质状态。</t>
  </si>
  <si>
    <t>53.json</t>
  </si>
  <si>
    <t>FauzulIchwan/kodeSkripsiHidroponik</t>
  </si>
  <si>
    <t>https://github.com/FauzulIchwan/kodeSkripsiHidroponik/blob/254d3016a19a37b5e51ad1a469c37e77b56d77eb/flowsHydroponicNodeRed.json</t>
  </si>
  <si>
    <t>TLS配置</t>
  </si>
  <si>
    <t>管理TLS证书、密钥和CA，支持服务器证书验证及ALPN协议配置。</t>
  </si>
  <si>
    <t>54.json</t>
  </si>
  <si>
    <t>davidredondo0/Automated-Hydroponic-Crop</t>
  </si>
  <si>
    <t>https://github.com/davidredondo0/Automated-Hydroponic-Crop/blob/c5bd4bdb75a9955318b1a8aceb2f81e04efc59aa/Node-red/Nodered.json</t>
  </si>
  <si>
    <t>仪表盘管理</t>
  </si>
  <si>
    <t>提供系统概览与控制的界面，包含多个主题选项卡如总览、测量分析等模块。</t>
  </si>
  <si>
    <t>55.json</t>
  </si>
  <si>
    <t>goldeneas/potxii</t>
  </si>
  <si>
    <t>https://github.com/goldeneas/potxii/blob/cde76934cfb18b6015b16c6f6383257aada40c59/nodered/progetto.json</t>
  </si>
  <si>
    <t>温度处理</t>
  </si>
  <si>
    <t>从IBM IoT接收数据，提取设备HR1702的温度值并将其设置为全局变量t，同时更新消息负载以只包含温度信息。</t>
  </si>
  <si>
    <t>56.json</t>
  </si>
  <si>
    <t>smartinternz02/SI-GuidedProject-2707-1622646034</t>
  </si>
  <si>
    <t>https://github.com/smartinternz02/SI-GuidedProject-2707-1622646034/blob/34bd345cd6a455b9bb7c481b5344a07de0fe628c/nodeflows.json</t>
  </si>
  <si>
    <t>项目信息与备份</t>
  </si>
  <si>
    <t>提供项目事件的信息和提醒，包含自动备份流程文件并通过邮件发送的功能。</t>
  </si>
  <si>
    <t>57.json</t>
  </si>
  <si>
    <t>surfd4wg/radarblip</t>
  </si>
  <si>
    <t>https://github.com/surfd4wg/radarblip/blob/07af3bbb76abbd1cee9b78bcee353b0a5379b9b9/flows.json</t>
  </si>
  <si>
    <t>数字孪生</t>
  </si>
  <si>
    <t>构建智能工厂数字孪生项目，包括IoT数据存储、Node-RED流程部署和环境变量管理。</t>
  </si>
  <si>
    <t>58.json</t>
  </si>
  <si>
    <t>soujoudbouzoumita/digitaltwin</t>
  </si>
  <si>
    <t>https://github.com/soujoudbouzoumita/digitaltwin/blob/1d4163ef8de40f956985cb120684d8e793ec4afc/services/node-red/flows/context-flows.json</t>
  </si>
  <si>
    <t>设备发现</t>
  </si>
  <si>
    <t>实现通过mDNS、UPnP、SSDP进行WiFi设备发现，支持网络扫描和HTTP通信的设备集成管理。</t>
  </si>
  <si>
    <t>59.json</t>
  </si>
  <si>
    <t>https://github.com/The-CosmicX/Node-Development/blob/84dc30fc33a59068de0619d7915bb7bbd8c8f44f/flows/flows-backup-api-expansion-20250701-173510.json</t>
  </si>
  <si>
    <t>智能语音控制</t>
  </si>
  <si>
    <t>通过node-red-contrib-alexa-smart-home插件实现与Alexa的智能家居设备控制和远程Falcon音乐请求播报集成，支持代理认证访问Alexa服务。</t>
  </si>
  <si>
    <t>60.json</t>
  </si>
  <si>
    <t>jeffu231/node-red-alexa</t>
  </si>
  <si>
    <t>https://github.com/jeffu231/node-red-alexa/blob/3a9b3b8ef173afb0aa88b84608effd35d951d063/flows.json</t>
  </si>
  <si>
    <t>数据库查询</t>
  </si>
  <si>
    <t>定时从Smartfarm_DB中读取特定日期的传感器数据并发送到指定节点。配置为每天执行一次，抽取2024年9月23日的数据记录。</t>
  </si>
  <si>
    <t>61.json</t>
  </si>
  <si>
    <t>https://github.com/9lut/Smart_Farm/blob/a0969e31bad3236a75fb7da75b525e4479433b51/Odroid/Node-red/Database/Database.json</t>
  </si>
  <si>
    <t>智能监控</t>
  </si>
  <si>
    <t>处理和管理与水族箱相关的数据信息及音频输出，防止调度器干扰。</t>
  </si>
  <si>
    <t>62.json</t>
  </si>
  <si>
    <t>atanasyanew/aqua-app</t>
  </si>
  <si>
    <t>https://github.com/atanasyanew/aqua-app/blob/b52afdeba716412b342c30fde8fd650e6a44bff2/src/ui-nodered/.build/flows.json</t>
  </si>
  <si>
    <t>项目管理</t>
  </si>
  <si>
    <t>该场景文件定义了多个工作区标签，每个标签代表一个不同的项目或功能模块，当前部分标签已禁用。</t>
  </si>
  <si>
    <t>63.json</t>
  </si>
  <si>
    <t>https://github.com/stephenhouser/node-red-contrib-flexradio/blob/02642340e0002215398d888ac7669573c0c72774/development/flows-v7.json</t>
  </si>
  <si>
    <t>主题设置</t>
  </si>
  <si>
    <t>自定义用户界面的亮色和暗色主题颜色及字体，支持个性化编辑与保存。</t>
  </si>
  <si>
    <t>64.json</t>
  </si>
  <si>
    <t>depermana12/smart-garden-iot</t>
  </si>
  <si>
    <t>https://github.com/depermana12/smart-garden-iot/blob/4db1e5b1b3cf1bca3dd6a62afebe433e426b78ce/frontend/node-red/node-RED%20flows.json</t>
  </si>
  <si>
    <t>数据注入</t>
  </si>
  <si>
    <t>通过定时触发或手动操作向系统中添加特定格式的消息或事件以启动工作流或进行测试。</t>
  </si>
  <si>
    <t>65.json</t>
  </si>
  <si>
    <t>touhidurrahman/spekter_node_red</t>
  </si>
  <si>
    <t>https://github.com/touhidurrahman/spekter_node_red/blob/d74422f34d7868367cd38279818c62ad901ea7ec/home.json</t>
  </si>
  <si>
    <t>支持mDNS、UPnP和网络扫描的WiFi设备发现与集成，提供HTTP通信及设备管理功能。</t>
  </si>
  <si>
    <t>66.json</t>
  </si>
  <si>
    <t>https://github.com/The-CosmicX/Node-Development/blob/84dc30fc33a59068de0619d7915bb7bbd8c8f44f/flows/flows-backup-syntax-fix.json</t>
  </si>
  <si>
    <t>水位检测</t>
  </si>
  <si>
    <t>从IBM IoT平台接收AkshuDevice设备的事件消息，提取并设置payload为waterlevel字段值以便后续处理。</t>
  </si>
  <si>
    <t>67.json</t>
  </si>
  <si>
    <t>smartinternz02/SI-GuidedProject-4750-1627031348</t>
  </si>
  <si>
    <t>https://github.com/smartinternz02/SI-GuidedProject-4750-1627031348/blob/98cefe537259e4acaca1fbddcd1514f86ee068b4/Node%20Red/flows.json</t>
  </si>
  <si>
    <t>设备事件接收</t>
  </si>
  <si>
    <t>通过IBM IoT平台接收ESP32设备的JSON格式事件数据，并将其转发至指定节点进行进一步处理。</t>
  </si>
  <si>
    <t>68.json</t>
  </si>
  <si>
    <t>smartinternz02/SI-GuidedProject-2643-1622443890</t>
  </si>
  <si>
    <t>https://github.com/smartinternz02/SI-GuidedProject-2643-1622443890/blob/5d7ca23e9109f0980bc196fa75c7ce2b80dfbccc/flows%20%20(1).json</t>
  </si>
  <si>
    <t>接收串口数据并将其转换为键值对格式的JavaScript对象以便进一步处理。</t>
  </si>
  <si>
    <t>69.json</t>
  </si>
  <si>
    <t>AnasBenAmor10/Smart_House_Monitoring_System</t>
  </si>
  <si>
    <t>https://github.com/AnasBenAmor10/Smart_House_Monitoring_System/blob/eb3340cfc5cf9d91b3428ecf0bf6832d3de6e7b6/iot/HomeAutomationFlow.json</t>
  </si>
  <si>
    <t>提供设备的网络设置、状态机管理、MODBUS通信、SVG更新和MQTT服务等多方面的系统配置选项。</t>
  </si>
  <si>
    <t>70.json</t>
  </si>
  <si>
    <t>https://github.com/KronborgSolutions/Firmware/blob/93b8b83da34124d1d223b828c348e7504521cf9e/ecowater/ecowater002/flows.json</t>
  </si>
  <si>
    <t>MQTT数据入库</t>
  </si>
  <si>
    <t>实现从MQTT协议接收的数据转发至InfluxDB数据库存储，便于时间序列数据分析与监控。</t>
  </si>
  <si>
    <t>71.json</t>
  </si>
  <si>
    <t>vrohak/smart-pool</t>
  </si>
  <si>
    <t>https://github.com/vrohak/smart-pool/blob/c45c66c06d35df914dcc64573e2043f5c4f363ad/platform/nodered/data/flows.json</t>
  </si>
  <si>
    <t>设备模拟</t>
  </si>
  <si>
    <t>创建用于测试和开发的虚拟设备，提供传感器数据和其他设备状态信息。</t>
  </si>
  <si>
    <t>72.json</t>
  </si>
  <si>
    <t>Kalaitzo/FlyMonitoring</t>
  </si>
  <si>
    <t>https://github.com/Kalaitzo/FlyMonitoring/blob/822593b218f58c2f7f61831050708a5d9860b1ff/flows.json</t>
  </si>
  <si>
    <t>日志模拟</t>
  </si>
  <si>
    <t>用于接收来自涂鸦设备的数据并生成更新消息，处理涂鸦触发器，支持动态值评估机制。</t>
  </si>
  <si>
    <t>73.json</t>
  </si>
  <si>
    <t>https://github.com/msillano/tuyaDAEMON/blob/ed41abe5cab6472a516d33343910b08c61840a1f/extra/custom.watering_sys.2.1.json</t>
  </si>
  <si>
    <t>项目启动</t>
  </si>
  <si>
    <t>包含多个流程的主工作流，其中定义了项目开始处理的具体步骤。</t>
  </si>
  <si>
    <t>74.json</t>
  </si>
  <si>
    <t>WebIotMakers-Okayama-2022-Team-F/Short</t>
  </si>
  <si>
    <t>https://github.com/WebIotMakers-Okayama-2022-Team-F/Short/blob/c19db2c2481e48d09ae6f5198d474c3bb42c6575/src/Node-RED/flows.json</t>
  </si>
  <si>
    <t>通过IBM IoT平台接收ESP32设备的事件数据，并进行分发和调试输出，实现智能硬件的数据监控与管理。</t>
  </si>
  <si>
    <t>75.json</t>
  </si>
  <si>
    <t>smartinternz02/SI-GuidedProject-2644-1622443919</t>
  </si>
  <si>
    <t>https://github.com/smartinternz02/SI-GuidedProject-2644-1622443919/blob/0c3c227992d604dddc5156e6b9b2ec9948ee376d/flows%20.json</t>
  </si>
  <si>
    <t>接收IBM IoT平台的事件数据，提取并处理设备发送的水位信息，通过调试节点输出结果。</t>
  </si>
  <si>
    <t>76.json</t>
  </si>
  <si>
    <t>smartinternz02/SI-GuidedProject-4752-1627031354</t>
  </si>
  <si>
    <t>https://github.com/smartinternz02/SI-GuidedProject-4752-1627031354/blob/3aa50dd075edce882e7a7d26849b2f15b38acff6/Node%20Red/flows.json</t>
  </si>
  <si>
    <t>连接至OneControl平台并下载实体，实现设备自动发现和数据获取。</t>
  </si>
  <si>
    <t>77.json</t>
  </si>
  <si>
    <t>rperciaccante/HomeAssistant_OneControl_Discovery</t>
  </si>
  <si>
    <t>https://github.com/rperciaccante/HomeAssistant_OneControl_Discovery/blob/e83b8d057bdb06bda5909a9d5991b7500efef0d5/flow.json</t>
  </si>
  <si>
    <t>智能电视控制</t>
  </si>
  <si>
    <t>基于Python库pylips的Node-red插件，用于Philips TV遥控与状态查询。需手动克隆pylips至用户家目录并进行端口配置修改以适应不同型号设备需求。</t>
  </si>
  <si>
    <t>78.json</t>
  </si>
  <si>
    <t>dajuly20/node-red-contrib-pylips-philips-tv-control</t>
  </si>
  <si>
    <t>https://github.com/dajuly20/node-red-contrib-pylips-philips-tv-control/blob/521e59a5bbc449f69cabed38158406db7c7b92c1/subflow.json</t>
  </si>
  <si>
    <t>温控设备监控</t>
  </si>
  <si>
    <t>接收和处理来自松下热泵系统的状态信息及水泵流量数据，通过MQTT协议实现实时监控。</t>
  </si>
  <si>
    <t>79.json</t>
  </si>
  <si>
    <t>https://github.com/edterbak/NodeRed_Heishamon_control/blob/1a4b81ab2af73390365e07a22ed0ecfd5d6ea15a/old_flows/v3/flows%20v3%20-%202021-12-04.json</t>
  </si>
  <si>
    <t>温感数据处理</t>
  </si>
  <si>
    <t>从全局上下文中读取Ecobee恒温器和传感器信息，计算并存储每个恒温器的名称、类型等属性至特定状态对象中。</t>
  </si>
  <si>
    <t>80.json</t>
  </si>
  <si>
    <t>tfatykhov/WinkRedNode</t>
  </si>
  <si>
    <t>https://github.com/tfatykhov/WinkRedNode/blob/c9ed2ce503eb81e2ad616890a03c14e8b6849abb/Flows/Bluemix/winkIntegration.json</t>
  </si>
  <si>
    <t>智能灌溉控制</t>
  </si>
  <si>
    <t>提供一个开关用于控制是否通过邮件发送灌溉系统的警告信息。</t>
  </si>
  <si>
    <t>81.json</t>
  </si>
  <si>
    <t>dzungphieuluuky/IOT_IrritatingSystem</t>
  </si>
  <si>
    <t>https://github.com/dzungphieuluuky/IOT_IrritatingSystem/blob/14fe9f4fb9acdf902db5aca4b2e7c5ee451fc14c/flows.json</t>
  </si>
  <si>
    <t>MQTT配置</t>
  </si>
  <si>
    <t>设置MQTT服务器的连接参数，包括IP地址、端口和客户端自动重连选项等。</t>
  </si>
  <si>
    <t>82.json</t>
  </si>
  <si>
    <t>Busoken/smartfarmkmutnb</t>
  </si>
  <si>
    <t>https://github.com/Busoken/smartfarmkmutnb/blob/dc2062834dbd9747e628ddace376df251262a781/flows2.json</t>
  </si>
  <si>
    <t>智能家居集成</t>
  </si>
  <si>
    <t>配置Google智能家居客户端，使用HTTP路径smarthome进行通信，并设置状态延迟为5秒。</t>
  </si>
  <si>
    <t>83.json</t>
  </si>
  <si>
    <t>mikejac/node-red-contrib-google-smarthome</t>
  </si>
  <si>
    <t>https://github.com/mikejac/node-red-contrib-google-smarthome/blob/7ad50bb774ca73b5d04c5ef3c60a491706da295e/test/sh/flows.json</t>
  </si>
  <si>
    <t>iOS通知</t>
  </si>
  <si>
    <t>实现可操作的iOS通知，通过Home Assistant集成发送自定义通知消息。</t>
  </si>
  <si>
    <t>84.json</t>
  </si>
  <si>
    <t>sstratoti/actionable-notifications-subflow-for-ios</t>
  </si>
  <si>
    <t>https://github.com/sstratoti/actionable-notifications-subflow-for-ios/blob/2857670b7c8b117042c68a5d97a1c6bb95030d6e/actionable-notifications-subflow-for-ios.json</t>
  </si>
  <si>
    <t>name</t>
  </si>
  <si>
    <t>category</t>
  </si>
  <si>
    <t>description</t>
  </si>
  <si>
    <t>tags</t>
  </si>
  <si>
    <t>domain</t>
  </si>
  <si>
    <t>describing_the_model</t>
  </si>
  <si>
    <t>code</t>
  </si>
  <si>
    <t>additional</t>
  </si>
  <si>
    <t>reference</t>
  </si>
  <si>
    <t>image_url</t>
  </si>
  <si>
    <t>language</t>
  </si>
  <si>
    <t>token</t>
  </si>
  <si>
    <t>b-grid-vertical-alignment_b-tooltip-show-ref-event</t>
  </si>
  <si>
    <t>组合模板</t>
  </si>
  <si>
    <t xml:space="preserve">本模板为组合模板，由b-grid-vertical-alignment和b-tooltip-show-ref-event组合而成；其中:
b-grid-vertical-alignment的功能描述：
- 该Vue组件使用Bootstrap Vue框架实现了响应式的列布局。
- 包含多个行元素，每行内部有三个等宽的列，展示不同的垂直对齐方式（顶部对齐、居中对齐和底部对齐）。
- 列内支持自定义样式以适应不同内容高度需求，例如字体大小的变化不会影响整体布局的对齐效果。
- 适用于需要灵活管理页面元素垂直排列的设计场景，如产品列表页、博客文章展示等。
b-tooltip-show-ref-event的功能描述：
该Vue文件实现了一个带有提示框的按钮功能。当用户点击特定按钮时，会显示一个带有文本“Hello World!”的提示框，并且通过点击其他两个控制按钮可以手动打开或关闭此提示框。
- 包含三个按钮:一个初始按钮用于触发默认提示框显示事件；另外两个用于自定义打开和关闭操作。
- 通过Vue的方法`onOpen()`和`onClose()`来控制提示框的显示状态，这些方法使用了对DOM元素（b-tooltip组件）的引用。
- 使用了Bootstrap Vue框架中的Button和Tooltip组件进行UI设计与交互。
- 此功能适合用于需要增强用户互动体验的应用场景中，如网站导航、帮助信息展示等。
</t>
  </si>
  <si>
    <t>自定义方法,事件监听,按钮,列布局,响应式布局,布局管理,提示框,bootstrap-vue</t>
  </si>
  <si>
    <t>Web开发,用户界面,前端交互,表现层优化,Vue组件,网页布局,UI设计,前端开发</t>
  </si>
  <si>
    <t>Vue</t>
  </si>
  <si>
    <t>https://ddst.sjtu.edu.cn/lctemplate/vue/combinations/combinations/b-grid-vertical-alignment_b-tooltip-show-ref-event.vue</t>
  </si>
  <si>
    <t>BootstrapVue：https://github.com/bootstrap-vue/bootstrap-vue</t>
  </si>
  <si>
    <t>模板组件来源于github，https://github.com/CyberAP/bootstrap-vue-compat-ssr-test/tree/main/src/components/b-grid-vertical-alignment.vue;https://github.com/CyberAP/bootstrap-vue-compat-ssr-test/tree/main/src/components/b-tooltip-show-ref-event.vue</t>
  </si>
  <si>
    <t>https://ddst.sjtu.edu.cn/lctemplate/vue/combinations/screenshots/bgridverticalalignmentbtooltipshowrefevent.png</t>
  </si>
  <si>
    <t>d115b78dd95f282b9b52d7842d576bbc</t>
  </si>
</sst>
</file>

<file path=xl/styles.xml><?xml version="1.0" encoding="utf-8"?>
<styleSheet xmlns="http://schemas.openxmlformats.org/spreadsheetml/2006/main">
  <numFmts count="36">
    <numFmt numFmtId="6" formatCode="&quot;￥&quot;#,##0;[Red]&quot;￥&quot;\-#,##0"/>
    <numFmt numFmtId="176" formatCode="\¥#,##0.00;[Red]\¥\-#,##0.00"/>
    <numFmt numFmtId="23" formatCode="\$#,##0_);\(\$#,##0\)"/>
    <numFmt numFmtId="177" formatCode="#\ ??/??"/>
    <numFmt numFmtId="5" formatCode="&quot;￥&quot;#,##0;&quot;￥&quot;\-#,##0"/>
    <numFmt numFmtId="24" formatCode="\$#,##0_);[Red]\(\$#,##0\)"/>
    <numFmt numFmtId="178" formatCode="[DBNum1][$-804]yyyy&quot;年&quot;m&quot;月&quot;"/>
    <numFmt numFmtId="7" formatCode="&quot;￥&quot;#,##0.00;&quot;￥&quot;\-#,##0.00"/>
    <numFmt numFmtId="179" formatCode="\¥#,##0;[Red]\¥\-#,##0"/>
    <numFmt numFmtId="180" formatCode="[$-804]aaaa"/>
    <numFmt numFmtId="25" formatCode="\$#,##0.00_);\(\$#,##0.00\)"/>
    <numFmt numFmtId="42" formatCode="_ &quot;￥&quot;* #,##0_ ;_ &quot;￥&quot;* \-#,##0_ ;_ &quot;￥&quot;* &quot;-&quot;_ ;_ @_ "/>
    <numFmt numFmtId="44" formatCode="_ &quot;￥&quot;* #,##0.00_ ;_ &quot;￥&quot;* \-#,##0.00_ ;_ &quot;￥&quot;* &quot;-&quot;??_ ;_ @_ "/>
    <numFmt numFmtId="26" formatCode="\$#,##0.00_);[Red]\(\$#,##0.00\)"/>
    <numFmt numFmtId="181" formatCode="[DBNum1][$-804]yyyy&quot;年&quot;m&quot;月&quot;d&quot;日&quot;"/>
    <numFmt numFmtId="182" formatCode="h:mm\ AM/PM"/>
    <numFmt numFmtId="183" formatCode="h:mm:ss\ AM/PM"/>
    <numFmt numFmtId="184" formatCode="[DBNum1]上午/下午h&quot;时&quot;mm&quot;分&quot;"/>
    <numFmt numFmtId="8" formatCode="&quot;￥&quot;#,##0.00;[Red]&quot;￥&quot;\-#,##0.00"/>
    <numFmt numFmtId="185" formatCode="#\ ?/?"/>
    <numFmt numFmtId="43" formatCode="_ * #,##0.00_ ;_ * \-#,##0.00_ ;_ * &quot;-&quot;??_ ;_ @_ "/>
    <numFmt numFmtId="186" formatCode="[DBNum1][$-804]m&quot;月&quot;d&quot;日&quot;"/>
    <numFmt numFmtId="187" formatCode="#\ ??"/>
    <numFmt numFmtId="188" formatCode="yyyy/m/d\ h:mm\ AM/PM"/>
    <numFmt numFmtId="189" formatCode="mmmmm"/>
    <numFmt numFmtId="190" formatCode="mmmmm\-yy"/>
    <numFmt numFmtId="191" formatCode="mm/dd/yy"/>
    <numFmt numFmtId="192" formatCode="dd\-mmm\-yy"/>
    <numFmt numFmtId="193" formatCode="[DBNum1]h&quot;时&quot;mm&quot;分&quot;"/>
    <numFmt numFmtId="194" formatCode="yy/m/d"/>
    <numFmt numFmtId="195" formatCode="\¥#,##0;\¥\-#,##0"/>
    <numFmt numFmtId="196" formatCode="m/d"/>
    <numFmt numFmtId="197" formatCode="\¥#,##0.00;\¥\-#,##0.00"/>
    <numFmt numFmtId="198" formatCode="[$-804]aaa"/>
    <numFmt numFmtId="199" formatCode="mmmm\-yy"/>
    <numFmt numFmtId="41" formatCode="_ * #,##0_ ;_ * \-#,##0_ ;_ * &quot;-&quot;_ ;_ @_ "/>
  </numFmts>
  <fonts count="23">
    <font>
      <sz val="11"/>
      <color theme="1"/>
      <name val="等线"/>
      <charset val="134"/>
      <scheme val="minor"/>
    </font>
    <font>
      <u/>
      <sz val="11"/>
      <color theme="10"/>
      <name val="等线"/>
      <charset val="134"/>
      <scheme val="minor"/>
    </font>
    <font>
      <sz val="11"/>
      <color rgb="FF006100"/>
      <name val="等线"/>
      <charset val="134"/>
      <scheme val="minor"/>
    </font>
    <font>
      <sz val="11"/>
      <color rgb="FF000000"/>
      <name val="等线"/>
      <charset val="134"/>
    </font>
    <font>
      <sz val="11"/>
      <color rgb="FF9C5700"/>
      <name val="等线"/>
      <charset val="134"/>
      <scheme val="minor"/>
    </font>
    <font>
      <sz val="11"/>
      <color rgb="FF000000"/>
      <name val="等线"/>
      <charset val="134"/>
      <scheme val="minor"/>
    </font>
    <font>
      <sz val="11"/>
      <color rgb="FF9C5700"/>
      <name val="等线"/>
      <charset val="134"/>
    </font>
    <font>
      <sz val="11"/>
      <color rgb="FF9C0006"/>
      <name val="等线"/>
      <charset val="134"/>
      <scheme val="minor"/>
    </font>
    <font>
      <sz val="11"/>
      <color rgb="FFFA7D00"/>
      <name val="等线"/>
      <charset val="0"/>
      <scheme val="minor"/>
    </font>
    <font>
      <sz val="11"/>
      <color theme="1"/>
      <name val="等线"/>
      <charset val="0"/>
      <scheme val="minor"/>
    </font>
    <font>
      <sz val="11"/>
      <color rgb="FFFF0000"/>
      <name val="等线"/>
      <charset val="0"/>
      <scheme val="minor"/>
    </font>
    <font>
      <b/>
      <sz val="13"/>
      <color theme="3"/>
      <name val="等线"/>
      <charset val="134"/>
      <scheme val="minor"/>
    </font>
    <font>
      <b/>
      <sz val="18"/>
      <color theme="3"/>
      <name val="等线"/>
      <charset val="134"/>
      <scheme val="minor"/>
    </font>
    <font>
      <i/>
      <sz val="11"/>
      <color rgb="FF7F7F7F"/>
      <name val="等线"/>
      <charset val="0"/>
      <scheme val="minor"/>
    </font>
    <font>
      <b/>
      <sz val="15"/>
      <color theme="3"/>
      <name val="等线"/>
      <charset val="134"/>
      <scheme val="minor"/>
    </font>
    <font>
      <b/>
      <sz val="11"/>
      <color rgb="FFFA7D00"/>
      <name val="等线"/>
      <charset val="0"/>
      <scheme val="minor"/>
    </font>
    <font>
      <b/>
      <sz val="11"/>
      <color theme="3"/>
      <name val="等线"/>
      <charset val="134"/>
      <scheme val="minor"/>
    </font>
    <font>
      <b/>
      <sz val="11"/>
      <color rgb="FFFFFFFF"/>
      <name val="等线"/>
      <charset val="0"/>
      <scheme val="minor"/>
    </font>
    <font>
      <sz val="11"/>
      <color theme="0"/>
      <name val="等线"/>
      <charset val="0"/>
      <scheme val="minor"/>
    </font>
    <font>
      <sz val="11"/>
      <color rgb="FF3F3F76"/>
      <name val="等线"/>
      <charset val="0"/>
      <scheme val="minor"/>
    </font>
    <font>
      <b/>
      <sz val="11"/>
      <color theme="1"/>
      <name val="等线"/>
      <charset val="0"/>
      <scheme val="minor"/>
    </font>
    <font>
      <u/>
      <sz val="11"/>
      <color rgb="FF800080"/>
      <name val="等线"/>
      <charset val="0"/>
      <scheme val="minor"/>
    </font>
    <font>
      <b/>
      <sz val="11"/>
      <color rgb="FF3F3F3F"/>
      <name val="等线"/>
      <charset val="0"/>
      <scheme val="minor"/>
    </font>
  </fonts>
  <fills count="33">
    <fill>
      <patternFill patternType="none"/>
    </fill>
    <fill>
      <patternFill patternType="gray125"/>
    </fill>
    <fill>
      <patternFill patternType="solid">
        <fgColor rgb="FFC6EFCE"/>
        <bgColor indexed="64"/>
      </patternFill>
    </fill>
    <fill>
      <patternFill patternType="solid">
        <fgColor rgb="FFFFEB9C"/>
        <bgColor indexed="64"/>
      </patternFill>
    </fill>
    <fill>
      <patternFill patternType="solid">
        <fgColor rgb="FFFFC7CE"/>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8" tint="0.399975585192419"/>
        <bgColor indexed="64"/>
      </patternFill>
    </fill>
    <fill>
      <patternFill patternType="solid">
        <fgColor theme="4" tint="0.799981688894314"/>
        <bgColor indexed="64"/>
      </patternFill>
    </fill>
    <fill>
      <patternFill patternType="solid">
        <fgColor rgb="FFFFCC99"/>
        <bgColor indexed="64"/>
      </patternFill>
    </fill>
    <fill>
      <patternFill patternType="solid">
        <fgColor theme="4"/>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6" tint="0.799981688894314"/>
        <bgColor indexed="64"/>
      </patternFill>
    </fill>
    <fill>
      <patternFill patternType="solid">
        <fgColor theme="9"/>
        <bgColor indexed="64"/>
      </patternFill>
    </fill>
    <fill>
      <patternFill patternType="solid">
        <fgColor theme="8"/>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7"/>
        <bgColor indexed="64"/>
      </patternFill>
    </fill>
    <fill>
      <patternFill patternType="solid">
        <fgColor theme="6"/>
        <bgColor indexed="64"/>
      </patternFill>
    </fill>
    <fill>
      <patternFill patternType="solid">
        <fgColor theme="5"/>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7" tint="0.799981688894314"/>
        <bgColor indexed="64"/>
      </patternFill>
    </fill>
  </fills>
  <borders count="9">
    <border>
      <left/>
      <right/>
      <top/>
      <bottom/>
      <diagonal/>
    </border>
    <border>
      <left/>
      <right/>
      <top/>
      <bottom style="double">
        <color rgb="FFFF800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18" fillId="29" borderId="0" applyNumberFormat="0" applyBorder="0" applyAlignment="0" applyProtection="0">
      <alignment vertical="center"/>
    </xf>
    <xf numFmtId="0" fontId="9" fillId="32" borderId="0" applyNumberFormat="0" applyBorder="0" applyAlignment="0" applyProtection="0">
      <alignment vertical="center"/>
    </xf>
    <xf numFmtId="0" fontId="18" fillId="26" borderId="0" applyNumberFormat="0" applyBorder="0" applyAlignment="0" applyProtection="0">
      <alignment vertical="center"/>
    </xf>
    <xf numFmtId="0" fontId="19" fillId="17" borderId="4" applyNumberFormat="0" applyAlignment="0" applyProtection="0">
      <alignment vertical="center"/>
    </xf>
    <xf numFmtId="0" fontId="9" fillId="7" borderId="0" applyNumberFormat="0" applyBorder="0" applyAlignment="0" applyProtection="0">
      <alignment vertical="center"/>
    </xf>
    <xf numFmtId="0" fontId="9" fillId="21" borderId="0" applyNumberFormat="0" applyBorder="0" applyAlignment="0" applyProtection="0">
      <alignment vertical="center"/>
    </xf>
    <xf numFmtId="44" fontId="0" fillId="0" borderId="0" applyFont="0" applyFill="0" applyBorder="0" applyAlignment="0" applyProtection="0">
      <alignment vertical="center"/>
    </xf>
    <xf numFmtId="0" fontId="18" fillId="27" borderId="0" applyNumberFormat="0" applyBorder="0" applyAlignment="0" applyProtection="0">
      <alignment vertical="center"/>
    </xf>
    <xf numFmtId="9" fontId="0" fillId="0" borderId="0" applyFont="0" applyFill="0" applyBorder="0" applyAlignment="0" applyProtection="0">
      <alignment vertical="center"/>
    </xf>
    <xf numFmtId="0" fontId="18" fillId="19" borderId="0" applyNumberFormat="0" applyBorder="0" applyAlignment="0" applyProtection="0">
      <alignment vertical="center"/>
    </xf>
    <xf numFmtId="0" fontId="18" fillId="15" borderId="0" applyNumberFormat="0" applyBorder="0" applyAlignment="0" applyProtection="0">
      <alignment vertical="center"/>
    </xf>
    <xf numFmtId="0" fontId="18" fillId="28" borderId="0" applyNumberFormat="0" applyBorder="0" applyAlignment="0" applyProtection="0">
      <alignment vertical="center"/>
    </xf>
    <xf numFmtId="0" fontId="18" fillId="25" borderId="0" applyNumberFormat="0" applyBorder="0" applyAlignment="0" applyProtection="0">
      <alignment vertical="center"/>
    </xf>
    <xf numFmtId="0" fontId="18" fillId="31" borderId="0" applyNumberFormat="0" applyBorder="0" applyAlignment="0" applyProtection="0">
      <alignment vertical="center"/>
    </xf>
    <xf numFmtId="0" fontId="15" fillId="13" borderId="4" applyNumberFormat="0" applyAlignment="0" applyProtection="0">
      <alignment vertical="center"/>
    </xf>
    <xf numFmtId="0" fontId="18" fillId="18" borderId="0" applyNumberFormat="0" applyBorder="0" applyAlignment="0" applyProtection="0">
      <alignment vertical="center"/>
    </xf>
    <xf numFmtId="0" fontId="4" fillId="3" borderId="0"/>
    <xf numFmtId="0" fontId="9" fillId="24" borderId="0" applyNumberFormat="0" applyBorder="0" applyAlignment="0" applyProtection="0">
      <alignment vertical="center"/>
    </xf>
    <xf numFmtId="0" fontId="2" fillId="2" borderId="0"/>
    <xf numFmtId="0" fontId="9" fillId="16" borderId="0" applyNumberFormat="0" applyBorder="0" applyAlignment="0" applyProtection="0">
      <alignment vertical="center"/>
    </xf>
    <xf numFmtId="0" fontId="20" fillId="0" borderId="7" applyNumberFormat="0" applyFill="0" applyAlignment="0" applyProtection="0">
      <alignment vertical="center"/>
    </xf>
    <xf numFmtId="0" fontId="7" fillId="4" borderId="0"/>
    <xf numFmtId="0" fontId="17" fillId="14" borderId="6" applyNumberFormat="0" applyAlignment="0" applyProtection="0">
      <alignment vertical="center"/>
    </xf>
    <xf numFmtId="0" fontId="22" fillId="13" borderId="8" applyNumberFormat="0" applyAlignment="0" applyProtection="0">
      <alignment vertical="center"/>
    </xf>
    <xf numFmtId="0" fontId="14" fillId="0" borderId="2" applyNumberFormat="0" applyFill="0" applyAlignment="0" applyProtection="0">
      <alignment vertical="center"/>
    </xf>
    <xf numFmtId="0" fontId="13" fillId="0" borderId="0" applyNumberFormat="0" applyFill="0" applyBorder="0" applyAlignment="0" applyProtection="0">
      <alignment vertical="center"/>
    </xf>
    <xf numFmtId="0" fontId="9" fillId="12"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1" borderId="0" applyNumberFormat="0" applyBorder="0" applyAlignment="0" applyProtection="0">
      <alignment vertical="center"/>
    </xf>
    <xf numFmtId="43"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9" fillId="8" borderId="0" applyNumberFormat="0" applyBorder="0" applyAlignment="0" applyProtection="0">
      <alignment vertical="center"/>
    </xf>
    <xf numFmtId="0" fontId="10" fillId="0" borderId="0" applyNumberFormat="0" applyFill="0" applyBorder="0" applyAlignment="0" applyProtection="0">
      <alignment vertical="center"/>
    </xf>
    <xf numFmtId="0" fontId="18" fillId="30" borderId="0" applyNumberFormat="0" applyBorder="0" applyAlignment="0" applyProtection="0">
      <alignment vertical="center"/>
    </xf>
    <xf numFmtId="0" fontId="0" fillId="10" borderId="3" applyNumberFormat="0" applyFont="0" applyAlignment="0" applyProtection="0">
      <alignment vertical="center"/>
    </xf>
    <xf numFmtId="0" fontId="9" fillId="9" borderId="0" applyNumberFormat="0" applyBorder="0" applyAlignment="0" applyProtection="0">
      <alignment vertical="center"/>
    </xf>
    <xf numFmtId="0" fontId="18" fillId="23" borderId="0" applyNumberFormat="0" applyBorder="0" applyAlignment="0" applyProtection="0">
      <alignment vertical="center"/>
    </xf>
    <xf numFmtId="0" fontId="9" fillId="20" borderId="0" applyNumberFormat="0" applyBorder="0" applyAlignment="0" applyProtection="0">
      <alignment vertical="center"/>
    </xf>
    <xf numFmtId="0" fontId="1" fillId="0" borderId="0"/>
    <xf numFmtId="41" fontId="0" fillId="0" borderId="0" applyFont="0" applyFill="0" applyBorder="0" applyAlignment="0" applyProtection="0">
      <alignment vertical="center"/>
    </xf>
    <xf numFmtId="0" fontId="11" fillId="0" borderId="2" applyNumberFormat="0" applyFill="0" applyAlignment="0" applyProtection="0">
      <alignment vertical="center"/>
    </xf>
    <xf numFmtId="0" fontId="9" fillId="6" borderId="0" applyNumberFormat="0" applyBorder="0" applyAlignment="0" applyProtection="0">
      <alignment vertical="center"/>
    </xf>
    <xf numFmtId="0" fontId="16" fillId="0" borderId="5" applyNumberFormat="0" applyFill="0" applyAlignment="0" applyProtection="0">
      <alignment vertical="center"/>
    </xf>
    <xf numFmtId="0" fontId="18" fillId="22" borderId="0" applyNumberFormat="0" applyBorder="0" applyAlignment="0" applyProtection="0">
      <alignment vertical="center"/>
    </xf>
    <xf numFmtId="0" fontId="9" fillId="5" borderId="0" applyNumberFormat="0" applyBorder="0" applyAlignment="0" applyProtection="0">
      <alignment vertical="center"/>
    </xf>
    <xf numFmtId="0" fontId="8" fillId="0" borderId="1" applyNumberFormat="0" applyFill="0" applyAlignment="0" applyProtection="0">
      <alignment vertical="center"/>
    </xf>
  </cellStyleXfs>
  <cellXfs count="9">
    <xf numFmtId="0" fontId="0" fillId="0" borderId="0" xfId="0"/>
    <xf numFmtId="0" fontId="1" fillId="0" borderId="0" xfId="41"/>
    <xf numFmtId="0" fontId="2" fillId="2" borderId="0" xfId="19"/>
    <xf numFmtId="0" fontId="3" fillId="0" borderId="0" xfId="0" applyFont="1"/>
    <xf numFmtId="0" fontId="4" fillId="3" borderId="0" xfId="17"/>
    <xf numFmtId="0" fontId="5" fillId="0" borderId="0" xfId="0" applyNumberFormat="1" applyFont="1"/>
    <xf numFmtId="14" fontId="5" fillId="0" borderId="0" xfId="0" applyNumberFormat="1" applyFont="1"/>
    <xf numFmtId="0" fontId="6" fillId="3" borderId="0" xfId="17"/>
    <xf numFmtId="0" fontId="7" fillId="4" borderId="0" xfId="22"/>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85"/>
  <sheetViews>
    <sheetView tabSelected="1" workbookViewId="0">
      <selection activeCell="K2" sqref="K2:Q85"/>
    </sheetView>
  </sheetViews>
  <sheetFormatPr defaultColWidth="9" defaultRowHeight="14.25"/>
  <cols>
    <col min="10" max="10" width="11"/>
    <col min="13" max="14" width="10.4666666666667" customWidth="1"/>
  </cols>
  <sheetData>
    <row r="1" spans="1:20">
      <c r="A1" s="2" t="s">
        <v>0</v>
      </c>
      <c r="B1" s="2" t="s">
        <v>1</v>
      </c>
      <c r="C1" s="2" t="s">
        <v>2</v>
      </c>
      <c r="D1" s="2" t="s">
        <v>3</v>
      </c>
      <c r="E1" s="2" t="s">
        <v>4</v>
      </c>
      <c r="F1" s="2" t="s">
        <v>5</v>
      </c>
      <c r="G1" s="2" t="s">
        <v>6</v>
      </c>
      <c r="H1" s="2" t="s">
        <v>7</v>
      </c>
      <c r="I1" s="2" t="s">
        <v>8</v>
      </c>
      <c r="J1" s="2" t="s">
        <v>9</v>
      </c>
      <c r="K1" s="4" t="s">
        <v>10</v>
      </c>
      <c r="L1" s="4" t="s">
        <v>11</v>
      </c>
      <c r="M1" s="4" t="s">
        <v>12</v>
      </c>
      <c r="N1" s="7" t="s">
        <v>13</v>
      </c>
      <c r="O1" s="7" t="s">
        <v>14</v>
      </c>
      <c r="P1" s="4" t="s">
        <v>15</v>
      </c>
      <c r="Q1" s="4" t="s">
        <v>16</v>
      </c>
      <c r="R1" s="4" t="s">
        <v>17</v>
      </c>
      <c r="S1" s="4"/>
      <c r="T1" s="8"/>
    </row>
    <row r="2" spans="1:20">
      <c r="A2" s="3" t="str">
        <f t="shared" ref="A2:A65" si="0">_xlfn.CONCAT("NodeRed-13-",TEXT(ROW()-1,"000000"))</f>
        <v>NodeRed-13-000001</v>
      </c>
      <c r="B2" t="s">
        <v>18</v>
      </c>
      <c r="C2" s="3" t="s">
        <v>19</v>
      </c>
      <c r="D2" s="3" t="s">
        <v>20</v>
      </c>
      <c r="E2" s="3" t="s">
        <v>21</v>
      </c>
      <c r="F2" s="3" t="s">
        <v>22</v>
      </c>
      <c r="G2" s="3" t="s">
        <v>23</v>
      </c>
      <c r="H2" t="s">
        <v>24</v>
      </c>
      <c r="I2" s="5" t="s">
        <v>25</v>
      </c>
      <c r="J2" s="6">
        <v>46014</v>
      </c>
      <c r="K2" t="s">
        <v>26</v>
      </c>
      <c r="L2" t="s">
        <v>18</v>
      </c>
      <c r="M2" t="s">
        <v>27</v>
      </c>
      <c r="N2" t="s">
        <v>28</v>
      </c>
      <c r="O2" t="s">
        <v>18</v>
      </c>
      <c r="P2" t="s">
        <v>29</v>
      </c>
      <c r="Q2" t="s">
        <v>30</v>
      </c>
      <c r="S2" t="s">
        <v>18</v>
      </c>
      <c r="T2" t="s">
        <v>18</v>
      </c>
    </row>
    <row r="3" spans="1:20">
      <c r="A3" s="3" t="str">
        <f t="shared" si="0"/>
        <v>NodeRed-13-000002</v>
      </c>
      <c r="B3" t="s">
        <v>18</v>
      </c>
      <c r="C3" s="3" t="s">
        <v>19</v>
      </c>
      <c r="D3" s="3" t="s">
        <v>20</v>
      </c>
      <c r="E3" s="3" t="s">
        <v>21</v>
      </c>
      <c r="F3" s="3" t="s">
        <v>22</v>
      </c>
      <c r="G3" s="3" t="s">
        <v>23</v>
      </c>
      <c r="H3" t="s">
        <v>31</v>
      </c>
      <c r="I3" s="5" t="s">
        <v>25</v>
      </c>
      <c r="J3" s="6">
        <v>46014</v>
      </c>
      <c r="K3" t="s">
        <v>32</v>
      </c>
      <c r="L3" t="s">
        <v>18</v>
      </c>
      <c r="M3" t="s">
        <v>27</v>
      </c>
      <c r="N3" t="s">
        <v>33</v>
      </c>
      <c r="O3" t="s">
        <v>18</v>
      </c>
      <c r="P3" t="s">
        <v>34</v>
      </c>
      <c r="Q3" t="s">
        <v>35</v>
      </c>
      <c r="S3" t="s">
        <v>18</v>
      </c>
      <c r="T3" t="s">
        <v>18</v>
      </c>
    </row>
    <row r="4" spans="1:20">
      <c r="A4" s="3" t="str">
        <f t="shared" si="0"/>
        <v>NodeRed-13-000003</v>
      </c>
      <c r="B4" t="s">
        <v>18</v>
      </c>
      <c r="C4" s="3" t="s">
        <v>19</v>
      </c>
      <c r="D4" s="3" t="s">
        <v>20</v>
      </c>
      <c r="E4" s="3" t="s">
        <v>21</v>
      </c>
      <c r="F4" s="3" t="s">
        <v>22</v>
      </c>
      <c r="G4" s="3" t="s">
        <v>23</v>
      </c>
      <c r="H4" t="s">
        <v>36</v>
      </c>
      <c r="I4" s="5" t="s">
        <v>25</v>
      </c>
      <c r="J4" s="6">
        <v>46014</v>
      </c>
      <c r="K4" t="s">
        <v>37</v>
      </c>
      <c r="L4" t="s">
        <v>18</v>
      </c>
      <c r="M4" t="s">
        <v>27</v>
      </c>
      <c r="N4" t="s">
        <v>38</v>
      </c>
      <c r="O4" t="s">
        <v>18</v>
      </c>
      <c r="P4" t="s">
        <v>39</v>
      </c>
      <c r="Q4" t="s">
        <v>40</v>
      </c>
      <c r="S4" t="s">
        <v>18</v>
      </c>
      <c r="T4" t="s">
        <v>18</v>
      </c>
    </row>
    <row r="5" spans="1:20">
      <c r="A5" s="3" t="str">
        <f t="shared" si="0"/>
        <v>NodeRed-13-000004</v>
      </c>
      <c r="B5" t="s">
        <v>18</v>
      </c>
      <c r="C5" s="3" t="s">
        <v>19</v>
      </c>
      <c r="D5" s="3" t="s">
        <v>20</v>
      </c>
      <c r="E5" s="3" t="s">
        <v>21</v>
      </c>
      <c r="F5" s="3" t="s">
        <v>22</v>
      </c>
      <c r="G5" s="3" t="s">
        <v>23</v>
      </c>
      <c r="H5" t="s">
        <v>41</v>
      </c>
      <c r="I5" s="5" t="s">
        <v>25</v>
      </c>
      <c r="J5" s="6">
        <v>46014</v>
      </c>
      <c r="K5" t="s">
        <v>42</v>
      </c>
      <c r="L5" t="s">
        <v>18</v>
      </c>
      <c r="M5" t="s">
        <v>27</v>
      </c>
      <c r="N5" t="s">
        <v>43</v>
      </c>
      <c r="O5" t="s">
        <v>18</v>
      </c>
      <c r="P5" t="s">
        <v>44</v>
      </c>
      <c r="Q5" t="s">
        <v>45</v>
      </c>
      <c r="S5" t="s">
        <v>18</v>
      </c>
      <c r="T5" t="s">
        <v>18</v>
      </c>
    </row>
    <row r="6" spans="1:20">
      <c r="A6" s="3" t="str">
        <f t="shared" si="0"/>
        <v>NodeRed-13-000005</v>
      </c>
      <c r="B6" t="s">
        <v>18</v>
      </c>
      <c r="C6" s="3" t="s">
        <v>19</v>
      </c>
      <c r="D6" s="3" t="s">
        <v>20</v>
      </c>
      <c r="E6" s="3" t="s">
        <v>21</v>
      </c>
      <c r="F6" s="3" t="s">
        <v>22</v>
      </c>
      <c r="G6" s="3" t="s">
        <v>23</v>
      </c>
      <c r="H6" t="s">
        <v>46</v>
      </c>
      <c r="I6" s="5" t="s">
        <v>25</v>
      </c>
      <c r="J6" s="6">
        <v>46014</v>
      </c>
      <c r="K6" t="s">
        <v>47</v>
      </c>
      <c r="L6" t="s">
        <v>18</v>
      </c>
      <c r="M6" t="s">
        <v>27</v>
      </c>
      <c r="N6" t="s">
        <v>48</v>
      </c>
      <c r="O6" t="s">
        <v>18</v>
      </c>
      <c r="P6" t="s">
        <v>49</v>
      </c>
      <c r="Q6" t="s">
        <v>50</v>
      </c>
      <c r="S6" t="s">
        <v>18</v>
      </c>
      <c r="T6" t="s">
        <v>18</v>
      </c>
    </row>
    <row r="7" spans="1:20">
      <c r="A7" s="3" t="str">
        <f t="shared" si="0"/>
        <v>NodeRed-13-000006</v>
      </c>
      <c r="B7" t="s">
        <v>18</v>
      </c>
      <c r="C7" s="3" t="s">
        <v>19</v>
      </c>
      <c r="D7" s="3" t="s">
        <v>20</v>
      </c>
      <c r="E7" s="3" t="s">
        <v>21</v>
      </c>
      <c r="F7" s="3" t="s">
        <v>22</v>
      </c>
      <c r="G7" s="3" t="s">
        <v>23</v>
      </c>
      <c r="H7" t="s">
        <v>51</v>
      </c>
      <c r="I7" s="5" t="s">
        <v>25</v>
      </c>
      <c r="J7" s="6">
        <v>46014</v>
      </c>
      <c r="K7" t="s">
        <v>52</v>
      </c>
      <c r="L7" t="s">
        <v>18</v>
      </c>
      <c r="M7" t="s">
        <v>27</v>
      </c>
      <c r="N7" t="s">
        <v>53</v>
      </c>
      <c r="O7" t="s">
        <v>18</v>
      </c>
      <c r="P7" t="s">
        <v>39</v>
      </c>
      <c r="Q7" t="s">
        <v>54</v>
      </c>
      <c r="S7" t="s">
        <v>18</v>
      </c>
      <c r="T7" t="s">
        <v>18</v>
      </c>
    </row>
    <row r="8" spans="1:20">
      <c r="A8" s="3" t="str">
        <f t="shared" si="0"/>
        <v>NodeRed-13-000007</v>
      </c>
      <c r="B8" t="s">
        <v>18</v>
      </c>
      <c r="C8" s="3" t="s">
        <v>19</v>
      </c>
      <c r="D8" s="3" t="s">
        <v>20</v>
      </c>
      <c r="E8" s="3" t="s">
        <v>21</v>
      </c>
      <c r="F8" s="3" t="s">
        <v>22</v>
      </c>
      <c r="G8" s="3" t="s">
        <v>23</v>
      </c>
      <c r="H8" t="s">
        <v>55</v>
      </c>
      <c r="I8" s="5" t="s">
        <v>25</v>
      </c>
      <c r="J8" s="6">
        <v>46014</v>
      </c>
      <c r="K8" t="s">
        <v>56</v>
      </c>
      <c r="L8" t="s">
        <v>18</v>
      </c>
      <c r="M8" t="s">
        <v>27</v>
      </c>
      <c r="N8" t="s">
        <v>57</v>
      </c>
      <c r="O8" t="s">
        <v>18</v>
      </c>
      <c r="P8" t="s">
        <v>58</v>
      </c>
      <c r="Q8" t="s">
        <v>59</v>
      </c>
      <c r="S8" t="s">
        <v>18</v>
      </c>
      <c r="T8" t="s">
        <v>18</v>
      </c>
    </row>
    <row r="9" spans="1:20">
      <c r="A9" s="3" t="str">
        <f t="shared" si="0"/>
        <v>NodeRed-13-000008</v>
      </c>
      <c r="B9" t="s">
        <v>18</v>
      </c>
      <c r="C9" s="3" t="s">
        <v>19</v>
      </c>
      <c r="D9" s="3" t="s">
        <v>20</v>
      </c>
      <c r="E9" s="3" t="s">
        <v>21</v>
      </c>
      <c r="F9" s="3" t="s">
        <v>22</v>
      </c>
      <c r="G9" s="3" t="s">
        <v>23</v>
      </c>
      <c r="H9" t="s">
        <v>60</v>
      </c>
      <c r="I9" s="5" t="s">
        <v>25</v>
      </c>
      <c r="J9" s="6">
        <v>46014</v>
      </c>
      <c r="K9" t="s">
        <v>61</v>
      </c>
      <c r="L9" t="s">
        <v>18</v>
      </c>
      <c r="M9" t="s">
        <v>27</v>
      </c>
      <c r="N9" t="s">
        <v>62</v>
      </c>
      <c r="O9" t="s">
        <v>18</v>
      </c>
      <c r="P9" t="s">
        <v>39</v>
      </c>
      <c r="Q9" t="s">
        <v>63</v>
      </c>
      <c r="S9" t="s">
        <v>18</v>
      </c>
      <c r="T9" t="s">
        <v>18</v>
      </c>
    </row>
    <row r="10" spans="1:20">
      <c r="A10" s="3" t="str">
        <f t="shared" si="0"/>
        <v>NodeRed-13-000009</v>
      </c>
      <c r="B10" t="s">
        <v>18</v>
      </c>
      <c r="C10" s="3" t="s">
        <v>19</v>
      </c>
      <c r="D10" s="3" t="s">
        <v>20</v>
      </c>
      <c r="E10" s="3" t="s">
        <v>21</v>
      </c>
      <c r="F10" s="3" t="s">
        <v>22</v>
      </c>
      <c r="G10" s="3" t="s">
        <v>23</v>
      </c>
      <c r="H10" t="s">
        <v>64</v>
      </c>
      <c r="I10" s="5" t="s">
        <v>25</v>
      </c>
      <c r="J10" s="6">
        <v>46014</v>
      </c>
      <c r="K10" t="s">
        <v>65</v>
      </c>
      <c r="L10" t="s">
        <v>18</v>
      </c>
      <c r="M10" t="s">
        <v>27</v>
      </c>
      <c r="N10" t="s">
        <v>66</v>
      </c>
      <c r="O10" t="s">
        <v>18</v>
      </c>
      <c r="P10" t="s">
        <v>67</v>
      </c>
      <c r="Q10" t="s">
        <v>68</v>
      </c>
      <c r="S10" t="s">
        <v>18</v>
      </c>
      <c r="T10" t="s">
        <v>18</v>
      </c>
    </row>
    <row r="11" spans="1:20">
      <c r="A11" s="3" t="str">
        <f t="shared" si="0"/>
        <v>NodeRed-13-000010</v>
      </c>
      <c r="B11" t="s">
        <v>18</v>
      </c>
      <c r="C11" s="3" t="s">
        <v>19</v>
      </c>
      <c r="D11" s="3" t="s">
        <v>20</v>
      </c>
      <c r="E11" s="3" t="s">
        <v>21</v>
      </c>
      <c r="F11" s="3" t="s">
        <v>22</v>
      </c>
      <c r="G11" s="3" t="s">
        <v>23</v>
      </c>
      <c r="H11" t="s">
        <v>69</v>
      </c>
      <c r="I11" s="5" t="s">
        <v>25</v>
      </c>
      <c r="J11" s="6">
        <v>46014</v>
      </c>
      <c r="K11" t="s">
        <v>70</v>
      </c>
      <c r="L11" t="s">
        <v>18</v>
      </c>
      <c r="M11" t="s">
        <v>27</v>
      </c>
      <c r="N11" t="s">
        <v>71</v>
      </c>
      <c r="O11" t="s">
        <v>18</v>
      </c>
      <c r="P11" t="s">
        <v>72</v>
      </c>
      <c r="Q11" t="s">
        <v>73</v>
      </c>
      <c r="S11" t="s">
        <v>18</v>
      </c>
      <c r="T11" t="s">
        <v>18</v>
      </c>
    </row>
    <row r="12" spans="1:20">
      <c r="A12" s="3" t="str">
        <f t="shared" si="0"/>
        <v>NodeRed-13-000011</v>
      </c>
      <c r="B12" t="s">
        <v>18</v>
      </c>
      <c r="C12" s="3" t="s">
        <v>19</v>
      </c>
      <c r="D12" s="3" t="s">
        <v>20</v>
      </c>
      <c r="E12" s="3" t="s">
        <v>21</v>
      </c>
      <c r="F12" s="3" t="s">
        <v>22</v>
      </c>
      <c r="G12" s="3" t="s">
        <v>23</v>
      </c>
      <c r="H12" t="s">
        <v>74</v>
      </c>
      <c r="I12" s="5" t="s">
        <v>25</v>
      </c>
      <c r="J12" s="6">
        <v>46014</v>
      </c>
      <c r="K12" t="s">
        <v>75</v>
      </c>
      <c r="L12" t="s">
        <v>18</v>
      </c>
      <c r="M12" t="s">
        <v>27</v>
      </c>
      <c r="N12" t="s">
        <v>76</v>
      </c>
      <c r="O12" t="s">
        <v>18</v>
      </c>
      <c r="P12" t="s">
        <v>77</v>
      </c>
      <c r="Q12" t="s">
        <v>78</v>
      </c>
      <c r="S12" t="s">
        <v>18</v>
      </c>
      <c r="T12" t="s">
        <v>18</v>
      </c>
    </row>
    <row r="13" spans="1:20">
      <c r="A13" s="3" t="str">
        <f t="shared" si="0"/>
        <v>NodeRed-13-000012</v>
      </c>
      <c r="B13" t="s">
        <v>18</v>
      </c>
      <c r="C13" s="3" t="s">
        <v>19</v>
      </c>
      <c r="D13" s="3" t="s">
        <v>20</v>
      </c>
      <c r="E13" s="3" t="s">
        <v>21</v>
      </c>
      <c r="F13" s="3" t="s">
        <v>22</v>
      </c>
      <c r="G13" s="3" t="s">
        <v>23</v>
      </c>
      <c r="H13" t="s">
        <v>79</v>
      </c>
      <c r="I13" s="5" t="s">
        <v>25</v>
      </c>
      <c r="J13" s="6">
        <v>46014</v>
      </c>
      <c r="K13" t="s">
        <v>80</v>
      </c>
      <c r="L13" t="s">
        <v>18</v>
      </c>
      <c r="M13" t="s">
        <v>27</v>
      </c>
      <c r="N13" t="s">
        <v>81</v>
      </c>
      <c r="O13" t="s">
        <v>18</v>
      </c>
      <c r="P13" t="s">
        <v>82</v>
      </c>
      <c r="Q13" t="s">
        <v>83</v>
      </c>
      <c r="S13" t="s">
        <v>18</v>
      </c>
      <c r="T13" t="s">
        <v>18</v>
      </c>
    </row>
    <row r="14" spans="1:20">
      <c r="A14" s="3" t="str">
        <f t="shared" si="0"/>
        <v>NodeRed-13-000013</v>
      </c>
      <c r="B14" t="s">
        <v>18</v>
      </c>
      <c r="C14" s="3" t="s">
        <v>19</v>
      </c>
      <c r="D14" s="3" t="s">
        <v>20</v>
      </c>
      <c r="E14" s="3" t="s">
        <v>21</v>
      </c>
      <c r="F14" s="3" t="s">
        <v>22</v>
      </c>
      <c r="G14" s="3" t="s">
        <v>23</v>
      </c>
      <c r="H14" t="s">
        <v>84</v>
      </c>
      <c r="I14" s="5" t="s">
        <v>25</v>
      </c>
      <c r="J14" s="6">
        <v>46014</v>
      </c>
      <c r="K14" t="s">
        <v>85</v>
      </c>
      <c r="L14" t="s">
        <v>18</v>
      </c>
      <c r="M14" t="s">
        <v>27</v>
      </c>
      <c r="N14" t="s">
        <v>86</v>
      </c>
      <c r="O14" t="s">
        <v>18</v>
      </c>
      <c r="P14" t="s">
        <v>87</v>
      </c>
      <c r="Q14" t="s">
        <v>88</v>
      </c>
      <c r="S14" t="s">
        <v>18</v>
      </c>
      <c r="T14" t="s">
        <v>18</v>
      </c>
    </row>
    <row r="15" spans="1:20">
      <c r="A15" s="3" t="str">
        <f t="shared" si="0"/>
        <v>NodeRed-13-000014</v>
      </c>
      <c r="B15" t="s">
        <v>18</v>
      </c>
      <c r="C15" s="3" t="s">
        <v>19</v>
      </c>
      <c r="D15" s="3" t="s">
        <v>20</v>
      </c>
      <c r="E15" s="3" t="s">
        <v>21</v>
      </c>
      <c r="F15" s="3" t="s">
        <v>22</v>
      </c>
      <c r="G15" s="3" t="s">
        <v>23</v>
      </c>
      <c r="H15" t="s">
        <v>89</v>
      </c>
      <c r="I15" s="5" t="s">
        <v>25</v>
      </c>
      <c r="J15" s="6">
        <v>46014</v>
      </c>
      <c r="K15" t="s">
        <v>90</v>
      </c>
      <c r="L15" t="s">
        <v>18</v>
      </c>
      <c r="M15" t="s">
        <v>27</v>
      </c>
      <c r="N15" t="s">
        <v>91</v>
      </c>
      <c r="O15" t="s">
        <v>18</v>
      </c>
      <c r="P15" t="s">
        <v>92</v>
      </c>
      <c r="Q15" t="s">
        <v>93</v>
      </c>
      <c r="S15" t="s">
        <v>18</v>
      </c>
      <c r="T15" t="s">
        <v>18</v>
      </c>
    </row>
    <row r="16" spans="1:20">
      <c r="A16" s="3" t="str">
        <f t="shared" si="0"/>
        <v>NodeRed-13-000015</v>
      </c>
      <c r="B16" t="s">
        <v>18</v>
      </c>
      <c r="C16" s="3" t="s">
        <v>19</v>
      </c>
      <c r="D16" s="3" t="s">
        <v>20</v>
      </c>
      <c r="E16" s="3" t="s">
        <v>21</v>
      </c>
      <c r="F16" s="3" t="s">
        <v>22</v>
      </c>
      <c r="G16" s="3" t="s">
        <v>23</v>
      </c>
      <c r="H16" t="s">
        <v>94</v>
      </c>
      <c r="I16" s="5" t="s">
        <v>25</v>
      </c>
      <c r="J16" s="6">
        <v>46014</v>
      </c>
      <c r="K16" t="s">
        <v>95</v>
      </c>
      <c r="L16" t="s">
        <v>18</v>
      </c>
      <c r="M16" t="s">
        <v>27</v>
      </c>
      <c r="N16" t="s">
        <v>96</v>
      </c>
      <c r="O16" t="s">
        <v>18</v>
      </c>
      <c r="P16" t="s">
        <v>97</v>
      </c>
      <c r="Q16" t="s">
        <v>98</v>
      </c>
      <c r="S16" t="s">
        <v>18</v>
      </c>
      <c r="T16" t="s">
        <v>18</v>
      </c>
    </row>
    <row r="17" spans="1:20">
      <c r="A17" s="3" t="str">
        <f t="shared" si="0"/>
        <v>NodeRed-13-000016</v>
      </c>
      <c r="B17" t="s">
        <v>18</v>
      </c>
      <c r="C17" s="3" t="s">
        <v>19</v>
      </c>
      <c r="D17" s="3" t="s">
        <v>20</v>
      </c>
      <c r="E17" s="3" t="s">
        <v>21</v>
      </c>
      <c r="F17" s="3" t="s">
        <v>22</v>
      </c>
      <c r="G17" s="3" t="s">
        <v>23</v>
      </c>
      <c r="H17" t="s">
        <v>99</v>
      </c>
      <c r="I17" s="5" t="s">
        <v>25</v>
      </c>
      <c r="J17" s="6">
        <v>46014</v>
      </c>
      <c r="K17" t="s">
        <v>100</v>
      </c>
      <c r="L17" t="s">
        <v>18</v>
      </c>
      <c r="M17" t="s">
        <v>27</v>
      </c>
      <c r="N17" t="s">
        <v>101</v>
      </c>
      <c r="O17" t="s">
        <v>18</v>
      </c>
      <c r="P17" t="s">
        <v>102</v>
      </c>
      <c r="Q17" t="s">
        <v>103</v>
      </c>
      <c r="S17" t="s">
        <v>18</v>
      </c>
      <c r="T17" t="s">
        <v>18</v>
      </c>
    </row>
    <row r="18" spans="1:20">
      <c r="A18" s="3" t="str">
        <f t="shared" si="0"/>
        <v>NodeRed-13-000017</v>
      </c>
      <c r="B18" t="s">
        <v>18</v>
      </c>
      <c r="C18" s="3" t="s">
        <v>19</v>
      </c>
      <c r="D18" s="3" t="s">
        <v>20</v>
      </c>
      <c r="E18" s="3" t="s">
        <v>21</v>
      </c>
      <c r="F18" s="3" t="s">
        <v>22</v>
      </c>
      <c r="G18" s="3" t="s">
        <v>23</v>
      </c>
      <c r="H18" t="s">
        <v>104</v>
      </c>
      <c r="I18" s="5" t="s">
        <v>25</v>
      </c>
      <c r="J18" s="6">
        <v>46014</v>
      </c>
      <c r="K18" t="s">
        <v>105</v>
      </c>
      <c r="L18" t="s">
        <v>18</v>
      </c>
      <c r="M18" t="s">
        <v>27</v>
      </c>
      <c r="N18" t="s">
        <v>106</v>
      </c>
      <c r="O18" t="s">
        <v>18</v>
      </c>
      <c r="P18" t="s">
        <v>107</v>
      </c>
      <c r="Q18" t="s">
        <v>108</v>
      </c>
      <c r="S18" t="s">
        <v>18</v>
      </c>
      <c r="T18" t="s">
        <v>18</v>
      </c>
    </row>
    <row r="19" spans="1:20">
      <c r="A19" s="3" t="str">
        <f t="shared" si="0"/>
        <v>NodeRed-13-000018</v>
      </c>
      <c r="B19" t="s">
        <v>18</v>
      </c>
      <c r="C19" s="3" t="s">
        <v>19</v>
      </c>
      <c r="D19" s="3" t="s">
        <v>20</v>
      </c>
      <c r="E19" s="3" t="s">
        <v>21</v>
      </c>
      <c r="F19" s="3" t="s">
        <v>22</v>
      </c>
      <c r="G19" s="3" t="s">
        <v>23</v>
      </c>
      <c r="H19" t="s">
        <v>94</v>
      </c>
      <c r="I19" s="5" t="s">
        <v>25</v>
      </c>
      <c r="J19" s="6">
        <v>46014</v>
      </c>
      <c r="K19" t="s">
        <v>95</v>
      </c>
      <c r="L19" t="s">
        <v>18</v>
      </c>
      <c r="M19" t="s">
        <v>27</v>
      </c>
      <c r="N19" t="s">
        <v>109</v>
      </c>
      <c r="O19" t="s">
        <v>18</v>
      </c>
      <c r="P19" t="s">
        <v>97</v>
      </c>
      <c r="Q19" t="s">
        <v>110</v>
      </c>
      <c r="S19" t="s">
        <v>18</v>
      </c>
      <c r="T19" t="s">
        <v>18</v>
      </c>
    </row>
    <row r="20" spans="1:20">
      <c r="A20" s="3" t="str">
        <f t="shared" si="0"/>
        <v>NodeRed-13-000019</v>
      </c>
      <c r="B20" t="s">
        <v>18</v>
      </c>
      <c r="C20" s="3" t="s">
        <v>19</v>
      </c>
      <c r="D20" s="3" t="s">
        <v>20</v>
      </c>
      <c r="E20" s="3" t="s">
        <v>21</v>
      </c>
      <c r="F20" s="3" t="s">
        <v>22</v>
      </c>
      <c r="G20" s="3" t="s">
        <v>23</v>
      </c>
      <c r="H20" t="s">
        <v>111</v>
      </c>
      <c r="I20" s="5" t="s">
        <v>25</v>
      </c>
      <c r="J20" s="6">
        <v>46014</v>
      </c>
      <c r="K20" t="s">
        <v>112</v>
      </c>
      <c r="L20" t="s">
        <v>18</v>
      </c>
      <c r="M20" t="s">
        <v>27</v>
      </c>
      <c r="N20" t="s">
        <v>113</v>
      </c>
      <c r="O20" t="s">
        <v>18</v>
      </c>
      <c r="P20" t="s">
        <v>114</v>
      </c>
      <c r="Q20" t="s">
        <v>115</v>
      </c>
      <c r="S20" t="s">
        <v>18</v>
      </c>
      <c r="T20" t="s">
        <v>18</v>
      </c>
    </row>
    <row r="21" spans="1:20">
      <c r="A21" s="3" t="str">
        <f t="shared" si="0"/>
        <v>NodeRed-13-000020</v>
      </c>
      <c r="B21" t="s">
        <v>18</v>
      </c>
      <c r="C21" s="3" t="s">
        <v>19</v>
      </c>
      <c r="D21" s="3" t="s">
        <v>20</v>
      </c>
      <c r="E21" s="3" t="s">
        <v>21</v>
      </c>
      <c r="F21" s="3" t="s">
        <v>22</v>
      </c>
      <c r="G21" s="3" t="s">
        <v>23</v>
      </c>
      <c r="H21" t="s">
        <v>116</v>
      </c>
      <c r="I21" s="5" t="s">
        <v>25</v>
      </c>
      <c r="J21" s="6">
        <v>46014</v>
      </c>
      <c r="K21" t="s">
        <v>117</v>
      </c>
      <c r="L21" t="s">
        <v>18</v>
      </c>
      <c r="M21" t="s">
        <v>27</v>
      </c>
      <c r="N21" t="s">
        <v>118</v>
      </c>
      <c r="O21" t="s">
        <v>18</v>
      </c>
      <c r="P21" t="s">
        <v>29</v>
      </c>
      <c r="Q21" t="s">
        <v>119</v>
      </c>
      <c r="S21" t="s">
        <v>18</v>
      </c>
      <c r="T21" t="s">
        <v>18</v>
      </c>
    </row>
    <row r="22" spans="1:20">
      <c r="A22" s="3" t="str">
        <f t="shared" si="0"/>
        <v>NodeRed-13-000021</v>
      </c>
      <c r="B22" t="s">
        <v>18</v>
      </c>
      <c r="C22" s="3" t="s">
        <v>19</v>
      </c>
      <c r="D22" s="3" t="s">
        <v>20</v>
      </c>
      <c r="E22" s="3" t="s">
        <v>21</v>
      </c>
      <c r="F22" s="3" t="s">
        <v>22</v>
      </c>
      <c r="G22" s="3" t="s">
        <v>23</v>
      </c>
      <c r="H22" t="s">
        <v>94</v>
      </c>
      <c r="I22" s="5" t="s">
        <v>25</v>
      </c>
      <c r="J22" s="6">
        <v>46014</v>
      </c>
      <c r="K22" t="s">
        <v>120</v>
      </c>
      <c r="L22" t="s">
        <v>18</v>
      </c>
      <c r="M22" t="s">
        <v>27</v>
      </c>
      <c r="N22" t="s">
        <v>121</v>
      </c>
      <c r="O22" t="s">
        <v>18</v>
      </c>
      <c r="P22" t="s">
        <v>97</v>
      </c>
      <c r="Q22" t="s">
        <v>122</v>
      </c>
      <c r="S22" t="s">
        <v>18</v>
      </c>
      <c r="T22" t="s">
        <v>18</v>
      </c>
    </row>
    <row r="23" spans="1:20">
      <c r="A23" s="3" t="str">
        <f t="shared" si="0"/>
        <v>NodeRed-13-000022</v>
      </c>
      <c r="B23" t="s">
        <v>18</v>
      </c>
      <c r="C23" s="3" t="s">
        <v>19</v>
      </c>
      <c r="D23" s="3" t="s">
        <v>20</v>
      </c>
      <c r="E23" s="3" t="s">
        <v>21</v>
      </c>
      <c r="F23" s="3" t="s">
        <v>22</v>
      </c>
      <c r="G23" s="3" t="s">
        <v>23</v>
      </c>
      <c r="H23" t="s">
        <v>123</v>
      </c>
      <c r="I23" s="5" t="s">
        <v>25</v>
      </c>
      <c r="J23" s="6">
        <v>46014</v>
      </c>
      <c r="K23" t="s">
        <v>124</v>
      </c>
      <c r="L23" t="s">
        <v>18</v>
      </c>
      <c r="M23" t="s">
        <v>27</v>
      </c>
      <c r="N23" t="s">
        <v>125</v>
      </c>
      <c r="O23" t="s">
        <v>18</v>
      </c>
      <c r="P23" t="s">
        <v>126</v>
      </c>
      <c r="Q23" t="s">
        <v>127</v>
      </c>
      <c r="S23" t="s">
        <v>18</v>
      </c>
      <c r="T23" t="s">
        <v>18</v>
      </c>
    </row>
    <row r="24" spans="1:20">
      <c r="A24" s="3" t="str">
        <f t="shared" si="0"/>
        <v>NodeRed-13-000023</v>
      </c>
      <c r="B24" t="s">
        <v>18</v>
      </c>
      <c r="C24" s="3" t="s">
        <v>19</v>
      </c>
      <c r="D24" s="3" t="s">
        <v>20</v>
      </c>
      <c r="E24" s="3" t="s">
        <v>21</v>
      </c>
      <c r="F24" s="3" t="s">
        <v>22</v>
      </c>
      <c r="G24" s="3" t="s">
        <v>23</v>
      </c>
      <c r="H24" t="s">
        <v>128</v>
      </c>
      <c r="I24" s="5" t="s">
        <v>25</v>
      </c>
      <c r="J24" s="6">
        <v>46014</v>
      </c>
      <c r="K24" t="s">
        <v>129</v>
      </c>
      <c r="L24" t="s">
        <v>18</v>
      </c>
      <c r="M24" t="s">
        <v>27</v>
      </c>
      <c r="N24" t="s">
        <v>130</v>
      </c>
      <c r="O24" t="s">
        <v>18</v>
      </c>
      <c r="P24" t="s">
        <v>131</v>
      </c>
      <c r="Q24" t="s">
        <v>132</v>
      </c>
      <c r="S24" t="s">
        <v>18</v>
      </c>
      <c r="T24" t="s">
        <v>18</v>
      </c>
    </row>
    <row r="25" spans="1:20">
      <c r="A25" s="3" t="str">
        <f t="shared" si="0"/>
        <v>NodeRed-13-000024</v>
      </c>
      <c r="B25" t="s">
        <v>18</v>
      </c>
      <c r="C25" s="3" t="s">
        <v>19</v>
      </c>
      <c r="D25" s="3" t="s">
        <v>20</v>
      </c>
      <c r="E25" s="3" t="s">
        <v>21</v>
      </c>
      <c r="F25" s="3" t="s">
        <v>22</v>
      </c>
      <c r="G25" s="3" t="s">
        <v>23</v>
      </c>
      <c r="H25" t="s">
        <v>133</v>
      </c>
      <c r="I25" s="5" t="s">
        <v>25</v>
      </c>
      <c r="J25" s="6">
        <v>46014</v>
      </c>
      <c r="K25" t="s">
        <v>134</v>
      </c>
      <c r="L25" t="s">
        <v>18</v>
      </c>
      <c r="M25" t="s">
        <v>27</v>
      </c>
      <c r="N25" t="s">
        <v>135</v>
      </c>
      <c r="O25" t="s">
        <v>18</v>
      </c>
      <c r="P25" t="s">
        <v>136</v>
      </c>
      <c r="Q25" t="s">
        <v>137</v>
      </c>
      <c r="S25" t="s">
        <v>18</v>
      </c>
      <c r="T25" t="s">
        <v>18</v>
      </c>
    </row>
    <row r="26" spans="1:20">
      <c r="A26" s="3" t="str">
        <f t="shared" si="0"/>
        <v>NodeRed-13-000025</v>
      </c>
      <c r="B26" t="s">
        <v>18</v>
      </c>
      <c r="C26" s="3" t="s">
        <v>19</v>
      </c>
      <c r="D26" s="3" t="s">
        <v>20</v>
      </c>
      <c r="E26" s="3" t="s">
        <v>21</v>
      </c>
      <c r="F26" s="3" t="s">
        <v>22</v>
      </c>
      <c r="G26" s="3" t="s">
        <v>23</v>
      </c>
      <c r="H26" t="s">
        <v>138</v>
      </c>
      <c r="I26" s="5" t="s">
        <v>25</v>
      </c>
      <c r="J26" s="6">
        <v>46014</v>
      </c>
      <c r="K26" t="s">
        <v>139</v>
      </c>
      <c r="L26" t="s">
        <v>18</v>
      </c>
      <c r="M26" t="s">
        <v>27</v>
      </c>
      <c r="N26" t="s">
        <v>140</v>
      </c>
      <c r="O26" t="s">
        <v>18</v>
      </c>
      <c r="P26" t="s">
        <v>141</v>
      </c>
      <c r="Q26" t="s">
        <v>142</v>
      </c>
      <c r="S26" t="s">
        <v>18</v>
      </c>
      <c r="T26" t="s">
        <v>18</v>
      </c>
    </row>
    <row r="27" spans="1:20">
      <c r="A27" s="3" t="str">
        <f t="shared" si="0"/>
        <v>NodeRed-13-000026</v>
      </c>
      <c r="B27" t="s">
        <v>18</v>
      </c>
      <c r="C27" s="3" t="s">
        <v>19</v>
      </c>
      <c r="D27" s="3" t="s">
        <v>20</v>
      </c>
      <c r="E27" s="3" t="s">
        <v>21</v>
      </c>
      <c r="F27" s="3" t="s">
        <v>22</v>
      </c>
      <c r="G27" s="3" t="s">
        <v>23</v>
      </c>
      <c r="H27" t="s">
        <v>138</v>
      </c>
      <c r="I27" s="5" t="s">
        <v>25</v>
      </c>
      <c r="J27" s="6">
        <v>46014</v>
      </c>
      <c r="K27" t="s">
        <v>143</v>
      </c>
      <c r="L27" t="s">
        <v>18</v>
      </c>
      <c r="M27" t="s">
        <v>27</v>
      </c>
      <c r="N27" t="s">
        <v>144</v>
      </c>
      <c r="O27" t="s">
        <v>18</v>
      </c>
      <c r="P27" t="s">
        <v>145</v>
      </c>
      <c r="Q27" t="s">
        <v>146</v>
      </c>
      <c r="S27" t="s">
        <v>18</v>
      </c>
      <c r="T27" t="s">
        <v>18</v>
      </c>
    </row>
    <row r="28" spans="1:20">
      <c r="A28" s="3" t="str">
        <f t="shared" si="0"/>
        <v>NodeRed-13-000027</v>
      </c>
      <c r="B28" t="s">
        <v>18</v>
      </c>
      <c r="C28" s="3" t="s">
        <v>19</v>
      </c>
      <c r="D28" s="3" t="s">
        <v>20</v>
      </c>
      <c r="E28" s="3" t="s">
        <v>21</v>
      </c>
      <c r="F28" s="3" t="s">
        <v>22</v>
      </c>
      <c r="G28" s="3" t="s">
        <v>23</v>
      </c>
      <c r="H28" t="s">
        <v>147</v>
      </c>
      <c r="I28" s="5" t="s">
        <v>25</v>
      </c>
      <c r="J28" s="6">
        <v>46014</v>
      </c>
      <c r="K28" t="s">
        <v>148</v>
      </c>
      <c r="L28" t="s">
        <v>18</v>
      </c>
      <c r="M28" t="s">
        <v>27</v>
      </c>
      <c r="N28" t="s">
        <v>149</v>
      </c>
      <c r="O28" t="s">
        <v>18</v>
      </c>
      <c r="P28" t="s">
        <v>150</v>
      </c>
      <c r="Q28" t="s">
        <v>151</v>
      </c>
      <c r="S28" t="s">
        <v>18</v>
      </c>
      <c r="T28" t="s">
        <v>18</v>
      </c>
    </row>
    <row r="29" spans="1:20">
      <c r="A29" s="3" t="str">
        <f t="shared" si="0"/>
        <v>NodeRed-13-000028</v>
      </c>
      <c r="B29" t="s">
        <v>18</v>
      </c>
      <c r="C29" s="3" t="s">
        <v>19</v>
      </c>
      <c r="D29" s="3" t="s">
        <v>20</v>
      </c>
      <c r="E29" s="3" t="s">
        <v>21</v>
      </c>
      <c r="F29" s="3" t="s">
        <v>22</v>
      </c>
      <c r="G29" s="3" t="s">
        <v>23</v>
      </c>
      <c r="H29" t="s">
        <v>152</v>
      </c>
      <c r="I29" s="5" t="s">
        <v>25</v>
      </c>
      <c r="J29" s="6">
        <v>46014</v>
      </c>
      <c r="K29" t="s">
        <v>153</v>
      </c>
      <c r="L29" t="s">
        <v>18</v>
      </c>
      <c r="M29" t="s">
        <v>27</v>
      </c>
      <c r="N29" t="s">
        <v>154</v>
      </c>
      <c r="O29" t="s">
        <v>18</v>
      </c>
      <c r="P29" t="s">
        <v>155</v>
      </c>
      <c r="Q29" t="s">
        <v>156</v>
      </c>
      <c r="S29" t="s">
        <v>18</v>
      </c>
      <c r="T29" t="s">
        <v>18</v>
      </c>
    </row>
    <row r="30" spans="1:20">
      <c r="A30" s="3" t="str">
        <f t="shared" si="0"/>
        <v>NodeRed-13-000029</v>
      </c>
      <c r="B30" t="s">
        <v>18</v>
      </c>
      <c r="C30" s="3" t="s">
        <v>19</v>
      </c>
      <c r="D30" s="3" t="s">
        <v>20</v>
      </c>
      <c r="E30" s="3" t="s">
        <v>21</v>
      </c>
      <c r="F30" s="3" t="s">
        <v>22</v>
      </c>
      <c r="G30" s="3" t="s">
        <v>23</v>
      </c>
      <c r="H30" t="s">
        <v>94</v>
      </c>
      <c r="I30" s="5" t="s">
        <v>25</v>
      </c>
      <c r="J30" s="6">
        <v>46014</v>
      </c>
      <c r="K30" t="s">
        <v>157</v>
      </c>
      <c r="L30" t="s">
        <v>18</v>
      </c>
      <c r="M30" t="s">
        <v>27</v>
      </c>
      <c r="N30" t="s">
        <v>158</v>
      </c>
      <c r="O30" t="s">
        <v>18</v>
      </c>
      <c r="P30" t="s">
        <v>97</v>
      </c>
      <c r="Q30" t="s">
        <v>159</v>
      </c>
      <c r="S30" t="s">
        <v>18</v>
      </c>
      <c r="T30" t="s">
        <v>18</v>
      </c>
    </row>
    <row r="31" spans="1:20">
      <c r="A31" s="3" t="str">
        <f t="shared" si="0"/>
        <v>NodeRed-13-000030</v>
      </c>
      <c r="B31" t="s">
        <v>18</v>
      </c>
      <c r="C31" s="3" t="s">
        <v>19</v>
      </c>
      <c r="D31" s="3" t="s">
        <v>20</v>
      </c>
      <c r="E31" s="3" t="s">
        <v>21</v>
      </c>
      <c r="F31" s="3" t="s">
        <v>22</v>
      </c>
      <c r="G31" s="3" t="s">
        <v>23</v>
      </c>
      <c r="H31" t="s">
        <v>160</v>
      </c>
      <c r="I31" s="5" t="s">
        <v>25</v>
      </c>
      <c r="J31" s="6">
        <v>46014</v>
      </c>
      <c r="K31" t="s">
        <v>161</v>
      </c>
      <c r="L31" t="s">
        <v>18</v>
      </c>
      <c r="M31" t="s">
        <v>27</v>
      </c>
      <c r="N31" t="s">
        <v>162</v>
      </c>
      <c r="O31" t="s">
        <v>18</v>
      </c>
      <c r="P31" t="s">
        <v>163</v>
      </c>
      <c r="Q31" t="s">
        <v>164</v>
      </c>
      <c r="S31" t="s">
        <v>18</v>
      </c>
      <c r="T31" t="s">
        <v>18</v>
      </c>
    </row>
    <row r="32" spans="1:20">
      <c r="A32" s="3" t="str">
        <f t="shared" si="0"/>
        <v>NodeRed-13-000031</v>
      </c>
      <c r="B32" t="s">
        <v>18</v>
      </c>
      <c r="C32" s="3" t="s">
        <v>19</v>
      </c>
      <c r="D32" s="3" t="s">
        <v>20</v>
      </c>
      <c r="E32" s="3" t="s">
        <v>21</v>
      </c>
      <c r="F32" s="3" t="s">
        <v>22</v>
      </c>
      <c r="G32" s="3" t="s">
        <v>23</v>
      </c>
      <c r="H32" t="s">
        <v>165</v>
      </c>
      <c r="I32" s="5" t="s">
        <v>25</v>
      </c>
      <c r="J32" s="6">
        <v>46014</v>
      </c>
      <c r="K32" t="s">
        <v>166</v>
      </c>
      <c r="L32" t="s">
        <v>18</v>
      </c>
      <c r="M32" t="s">
        <v>27</v>
      </c>
      <c r="N32" t="s">
        <v>167</v>
      </c>
      <c r="O32" t="s">
        <v>18</v>
      </c>
      <c r="P32" t="s">
        <v>168</v>
      </c>
      <c r="Q32" t="s">
        <v>169</v>
      </c>
      <c r="S32" t="s">
        <v>18</v>
      </c>
      <c r="T32" t="s">
        <v>18</v>
      </c>
    </row>
    <row r="33" spans="1:20">
      <c r="A33" s="3" t="str">
        <f t="shared" si="0"/>
        <v>NodeRed-13-000032</v>
      </c>
      <c r="B33" t="s">
        <v>18</v>
      </c>
      <c r="C33" s="3" t="s">
        <v>19</v>
      </c>
      <c r="D33" s="3" t="s">
        <v>20</v>
      </c>
      <c r="E33" s="3" t="s">
        <v>21</v>
      </c>
      <c r="F33" s="3" t="s">
        <v>22</v>
      </c>
      <c r="G33" s="3" t="s">
        <v>23</v>
      </c>
      <c r="H33" t="s">
        <v>170</v>
      </c>
      <c r="I33" s="5" t="s">
        <v>25</v>
      </c>
      <c r="J33" s="6">
        <v>46014</v>
      </c>
      <c r="K33" t="s">
        <v>171</v>
      </c>
      <c r="L33" t="s">
        <v>18</v>
      </c>
      <c r="M33" t="s">
        <v>27</v>
      </c>
      <c r="N33" t="s">
        <v>172</v>
      </c>
      <c r="O33" t="s">
        <v>18</v>
      </c>
      <c r="P33" t="s">
        <v>173</v>
      </c>
      <c r="Q33" t="s">
        <v>174</v>
      </c>
      <c r="S33" t="s">
        <v>18</v>
      </c>
      <c r="T33" t="s">
        <v>18</v>
      </c>
    </row>
    <row r="34" spans="1:20">
      <c r="A34" s="3" t="str">
        <f t="shared" si="0"/>
        <v>NodeRed-13-000033</v>
      </c>
      <c r="B34" t="s">
        <v>18</v>
      </c>
      <c r="C34" s="3" t="s">
        <v>19</v>
      </c>
      <c r="D34" s="3" t="s">
        <v>20</v>
      </c>
      <c r="E34" s="3" t="s">
        <v>21</v>
      </c>
      <c r="F34" s="3" t="s">
        <v>22</v>
      </c>
      <c r="G34" s="3" t="s">
        <v>23</v>
      </c>
      <c r="H34" t="s">
        <v>175</v>
      </c>
      <c r="I34" s="5" t="s">
        <v>25</v>
      </c>
      <c r="J34" s="6">
        <v>46014</v>
      </c>
      <c r="K34" t="s">
        <v>176</v>
      </c>
      <c r="L34" t="s">
        <v>18</v>
      </c>
      <c r="M34" t="s">
        <v>27</v>
      </c>
      <c r="N34" t="s">
        <v>177</v>
      </c>
      <c r="O34" t="s">
        <v>18</v>
      </c>
      <c r="P34" t="s">
        <v>178</v>
      </c>
      <c r="Q34" t="s">
        <v>179</v>
      </c>
      <c r="S34" t="s">
        <v>18</v>
      </c>
      <c r="T34" t="s">
        <v>18</v>
      </c>
    </row>
    <row r="35" spans="1:20">
      <c r="A35" s="3" t="str">
        <f t="shared" si="0"/>
        <v>NodeRed-13-000034</v>
      </c>
      <c r="B35" t="s">
        <v>18</v>
      </c>
      <c r="C35" s="3" t="s">
        <v>19</v>
      </c>
      <c r="D35" s="3" t="s">
        <v>20</v>
      </c>
      <c r="E35" s="3" t="s">
        <v>21</v>
      </c>
      <c r="F35" s="3" t="s">
        <v>22</v>
      </c>
      <c r="G35" s="3" t="s">
        <v>23</v>
      </c>
      <c r="H35" t="s">
        <v>180</v>
      </c>
      <c r="I35" s="5" t="s">
        <v>25</v>
      </c>
      <c r="J35" s="6">
        <v>46014</v>
      </c>
      <c r="K35" t="s">
        <v>181</v>
      </c>
      <c r="L35" t="s">
        <v>18</v>
      </c>
      <c r="M35" t="s">
        <v>27</v>
      </c>
      <c r="N35" t="s">
        <v>182</v>
      </c>
      <c r="O35" t="s">
        <v>18</v>
      </c>
      <c r="P35" t="s">
        <v>183</v>
      </c>
      <c r="Q35" t="s">
        <v>184</v>
      </c>
      <c r="S35" t="s">
        <v>18</v>
      </c>
      <c r="T35" t="s">
        <v>18</v>
      </c>
    </row>
    <row r="36" spans="1:20">
      <c r="A36" s="3" t="str">
        <f t="shared" si="0"/>
        <v>NodeRed-13-000035</v>
      </c>
      <c r="B36" t="s">
        <v>18</v>
      </c>
      <c r="C36" s="3" t="s">
        <v>19</v>
      </c>
      <c r="D36" s="3" t="s">
        <v>20</v>
      </c>
      <c r="E36" s="3" t="s">
        <v>21</v>
      </c>
      <c r="F36" s="3" t="s">
        <v>22</v>
      </c>
      <c r="G36" s="3" t="s">
        <v>23</v>
      </c>
      <c r="H36" t="s">
        <v>185</v>
      </c>
      <c r="I36" s="5" t="s">
        <v>25</v>
      </c>
      <c r="J36" s="6">
        <v>46014</v>
      </c>
      <c r="K36" t="s">
        <v>186</v>
      </c>
      <c r="L36" t="s">
        <v>18</v>
      </c>
      <c r="M36" t="s">
        <v>27</v>
      </c>
      <c r="N36" t="s">
        <v>187</v>
      </c>
      <c r="O36" t="s">
        <v>18</v>
      </c>
      <c r="P36" t="s">
        <v>188</v>
      </c>
      <c r="Q36" t="s">
        <v>189</v>
      </c>
      <c r="S36" t="s">
        <v>18</v>
      </c>
      <c r="T36" t="s">
        <v>18</v>
      </c>
    </row>
    <row r="37" spans="1:20">
      <c r="A37" s="3" t="str">
        <f t="shared" si="0"/>
        <v>NodeRed-13-000036</v>
      </c>
      <c r="B37" t="s">
        <v>18</v>
      </c>
      <c r="C37" s="3" t="s">
        <v>19</v>
      </c>
      <c r="D37" s="3" t="s">
        <v>20</v>
      </c>
      <c r="E37" s="3" t="s">
        <v>21</v>
      </c>
      <c r="F37" s="3" t="s">
        <v>22</v>
      </c>
      <c r="G37" s="3" t="s">
        <v>23</v>
      </c>
      <c r="H37" t="s">
        <v>190</v>
      </c>
      <c r="I37" s="5" t="s">
        <v>25</v>
      </c>
      <c r="J37" s="6">
        <v>46014</v>
      </c>
      <c r="K37" t="s">
        <v>191</v>
      </c>
      <c r="L37" t="s">
        <v>18</v>
      </c>
      <c r="M37" t="s">
        <v>27</v>
      </c>
      <c r="N37" t="s">
        <v>192</v>
      </c>
      <c r="O37" t="s">
        <v>18</v>
      </c>
      <c r="P37" t="s">
        <v>193</v>
      </c>
      <c r="Q37" t="s">
        <v>194</v>
      </c>
      <c r="S37" t="s">
        <v>18</v>
      </c>
      <c r="T37" t="s">
        <v>18</v>
      </c>
    </row>
    <row r="38" spans="1:20">
      <c r="A38" s="3" t="str">
        <f t="shared" si="0"/>
        <v>NodeRed-13-000037</v>
      </c>
      <c r="B38" t="s">
        <v>18</v>
      </c>
      <c r="C38" s="3" t="s">
        <v>19</v>
      </c>
      <c r="D38" s="3" t="s">
        <v>20</v>
      </c>
      <c r="E38" s="3" t="s">
        <v>21</v>
      </c>
      <c r="F38" s="3" t="s">
        <v>22</v>
      </c>
      <c r="G38" s="3" t="s">
        <v>23</v>
      </c>
      <c r="H38" t="s">
        <v>195</v>
      </c>
      <c r="I38" s="5" t="s">
        <v>25</v>
      </c>
      <c r="J38" s="6">
        <v>46014</v>
      </c>
      <c r="K38" t="s">
        <v>196</v>
      </c>
      <c r="L38" t="s">
        <v>18</v>
      </c>
      <c r="M38" t="s">
        <v>27</v>
      </c>
      <c r="N38" t="s">
        <v>197</v>
      </c>
      <c r="O38" t="s">
        <v>18</v>
      </c>
      <c r="P38" t="s">
        <v>188</v>
      </c>
      <c r="Q38" t="s">
        <v>198</v>
      </c>
      <c r="S38" t="s">
        <v>18</v>
      </c>
      <c r="T38" t="s">
        <v>18</v>
      </c>
    </row>
    <row r="39" spans="1:20">
      <c r="A39" s="3" t="str">
        <f t="shared" si="0"/>
        <v>NodeRed-13-000038</v>
      </c>
      <c r="B39" t="s">
        <v>18</v>
      </c>
      <c r="C39" s="3" t="s">
        <v>19</v>
      </c>
      <c r="D39" s="3" t="s">
        <v>20</v>
      </c>
      <c r="E39" s="3" t="s">
        <v>21</v>
      </c>
      <c r="F39" s="3" t="s">
        <v>22</v>
      </c>
      <c r="G39" s="3" t="s">
        <v>23</v>
      </c>
      <c r="H39" t="s">
        <v>199</v>
      </c>
      <c r="I39" s="5" t="s">
        <v>25</v>
      </c>
      <c r="J39" s="6">
        <v>46014</v>
      </c>
      <c r="K39" t="s">
        <v>200</v>
      </c>
      <c r="L39" t="s">
        <v>18</v>
      </c>
      <c r="M39" t="s">
        <v>27</v>
      </c>
      <c r="N39" t="s">
        <v>201</v>
      </c>
      <c r="O39" t="s">
        <v>18</v>
      </c>
      <c r="P39" t="s">
        <v>39</v>
      </c>
      <c r="Q39" t="s">
        <v>202</v>
      </c>
      <c r="S39" t="s">
        <v>18</v>
      </c>
      <c r="T39" t="s">
        <v>18</v>
      </c>
    </row>
    <row r="40" spans="1:20">
      <c r="A40" s="3" t="str">
        <f t="shared" si="0"/>
        <v>NodeRed-13-000039</v>
      </c>
      <c r="B40" t="s">
        <v>18</v>
      </c>
      <c r="C40" s="3" t="s">
        <v>19</v>
      </c>
      <c r="D40" s="3" t="s">
        <v>20</v>
      </c>
      <c r="E40" s="3" t="s">
        <v>21</v>
      </c>
      <c r="F40" s="3" t="s">
        <v>22</v>
      </c>
      <c r="G40" s="3" t="s">
        <v>23</v>
      </c>
      <c r="H40" t="s">
        <v>203</v>
      </c>
      <c r="I40" s="5" t="s">
        <v>25</v>
      </c>
      <c r="J40" s="6">
        <v>46014</v>
      </c>
      <c r="K40" t="s">
        <v>204</v>
      </c>
      <c r="L40" t="s">
        <v>18</v>
      </c>
      <c r="M40" t="s">
        <v>27</v>
      </c>
      <c r="N40" t="s">
        <v>205</v>
      </c>
      <c r="O40" t="s">
        <v>18</v>
      </c>
      <c r="P40" t="s">
        <v>206</v>
      </c>
      <c r="Q40" t="s">
        <v>207</v>
      </c>
      <c r="S40" t="s">
        <v>18</v>
      </c>
      <c r="T40" t="s">
        <v>18</v>
      </c>
    </row>
    <row r="41" spans="1:20">
      <c r="A41" s="3" t="str">
        <f t="shared" si="0"/>
        <v>NodeRed-13-000040</v>
      </c>
      <c r="B41" t="s">
        <v>18</v>
      </c>
      <c r="C41" s="3" t="s">
        <v>19</v>
      </c>
      <c r="D41" s="3" t="s">
        <v>20</v>
      </c>
      <c r="E41" s="3" t="s">
        <v>21</v>
      </c>
      <c r="F41" s="3" t="s">
        <v>22</v>
      </c>
      <c r="G41" s="3" t="s">
        <v>23</v>
      </c>
      <c r="H41" t="s">
        <v>51</v>
      </c>
      <c r="I41" s="5" t="s">
        <v>25</v>
      </c>
      <c r="J41" s="6">
        <v>46014</v>
      </c>
      <c r="K41" t="s">
        <v>208</v>
      </c>
      <c r="L41" t="s">
        <v>18</v>
      </c>
      <c r="M41" t="s">
        <v>27</v>
      </c>
      <c r="N41" t="s">
        <v>209</v>
      </c>
      <c r="O41" t="s">
        <v>18</v>
      </c>
      <c r="P41" t="s">
        <v>39</v>
      </c>
      <c r="Q41" t="s">
        <v>210</v>
      </c>
      <c r="S41" t="s">
        <v>18</v>
      </c>
      <c r="T41" t="s">
        <v>18</v>
      </c>
    </row>
    <row r="42" spans="1:20">
      <c r="A42" s="3" t="str">
        <f t="shared" si="0"/>
        <v>NodeRed-13-000041</v>
      </c>
      <c r="B42" t="s">
        <v>18</v>
      </c>
      <c r="C42" s="3" t="s">
        <v>19</v>
      </c>
      <c r="D42" s="3" t="s">
        <v>20</v>
      </c>
      <c r="E42" s="3" t="s">
        <v>21</v>
      </c>
      <c r="F42" s="3" t="s">
        <v>22</v>
      </c>
      <c r="G42" s="3" t="s">
        <v>23</v>
      </c>
      <c r="H42" t="s">
        <v>211</v>
      </c>
      <c r="I42" s="5" t="s">
        <v>25</v>
      </c>
      <c r="J42" s="6">
        <v>46014</v>
      </c>
      <c r="K42" t="s">
        <v>212</v>
      </c>
      <c r="L42" t="s">
        <v>18</v>
      </c>
      <c r="M42" t="s">
        <v>27</v>
      </c>
      <c r="N42" t="s">
        <v>213</v>
      </c>
      <c r="O42" t="s">
        <v>18</v>
      </c>
      <c r="P42" t="s">
        <v>92</v>
      </c>
      <c r="Q42" t="s">
        <v>214</v>
      </c>
      <c r="S42" t="s">
        <v>18</v>
      </c>
      <c r="T42" t="s">
        <v>18</v>
      </c>
    </row>
    <row r="43" spans="1:20">
      <c r="A43" s="3" t="str">
        <f t="shared" si="0"/>
        <v>NodeRed-13-000042</v>
      </c>
      <c r="B43" t="s">
        <v>18</v>
      </c>
      <c r="C43" s="3" t="s">
        <v>19</v>
      </c>
      <c r="D43" s="3" t="s">
        <v>20</v>
      </c>
      <c r="E43" s="3" t="s">
        <v>21</v>
      </c>
      <c r="F43" s="3" t="s">
        <v>22</v>
      </c>
      <c r="G43" s="3" t="s">
        <v>23</v>
      </c>
      <c r="H43" t="s">
        <v>215</v>
      </c>
      <c r="I43" s="5" t="s">
        <v>25</v>
      </c>
      <c r="J43" s="6">
        <v>46014</v>
      </c>
      <c r="K43" t="s">
        <v>216</v>
      </c>
      <c r="L43" t="s">
        <v>18</v>
      </c>
      <c r="M43" t="s">
        <v>27</v>
      </c>
      <c r="N43" t="s">
        <v>217</v>
      </c>
      <c r="O43" t="s">
        <v>18</v>
      </c>
      <c r="P43" t="s">
        <v>218</v>
      </c>
      <c r="Q43" t="s">
        <v>219</v>
      </c>
      <c r="S43" t="s">
        <v>18</v>
      </c>
      <c r="T43" t="s">
        <v>18</v>
      </c>
    </row>
    <row r="44" spans="1:20">
      <c r="A44" s="3" t="str">
        <f t="shared" si="0"/>
        <v>NodeRed-13-000043</v>
      </c>
      <c r="B44" t="s">
        <v>18</v>
      </c>
      <c r="C44" s="3" t="s">
        <v>19</v>
      </c>
      <c r="D44" s="3" t="s">
        <v>20</v>
      </c>
      <c r="E44" s="3" t="s">
        <v>21</v>
      </c>
      <c r="F44" s="3" t="s">
        <v>22</v>
      </c>
      <c r="G44" s="3" t="s">
        <v>23</v>
      </c>
      <c r="H44" t="s">
        <v>220</v>
      </c>
      <c r="I44" s="5" t="s">
        <v>25</v>
      </c>
      <c r="J44" s="6">
        <v>46014</v>
      </c>
      <c r="K44" t="s">
        <v>221</v>
      </c>
      <c r="L44" t="s">
        <v>18</v>
      </c>
      <c r="M44" t="s">
        <v>27</v>
      </c>
      <c r="N44" t="s">
        <v>222</v>
      </c>
      <c r="O44" t="s">
        <v>18</v>
      </c>
      <c r="P44" t="s">
        <v>223</v>
      </c>
      <c r="Q44" t="s">
        <v>224</v>
      </c>
      <c r="S44" t="s">
        <v>18</v>
      </c>
      <c r="T44" t="s">
        <v>18</v>
      </c>
    </row>
    <row r="45" spans="1:20">
      <c r="A45" s="3" t="str">
        <f t="shared" si="0"/>
        <v>NodeRed-13-000044</v>
      </c>
      <c r="B45" t="s">
        <v>18</v>
      </c>
      <c r="C45" s="3" t="s">
        <v>19</v>
      </c>
      <c r="D45" s="3" t="s">
        <v>20</v>
      </c>
      <c r="E45" s="3" t="s">
        <v>21</v>
      </c>
      <c r="F45" s="3" t="s">
        <v>22</v>
      </c>
      <c r="G45" s="3" t="s">
        <v>23</v>
      </c>
      <c r="H45" t="s">
        <v>225</v>
      </c>
      <c r="I45" s="5" t="s">
        <v>25</v>
      </c>
      <c r="J45" s="6">
        <v>46014</v>
      </c>
      <c r="K45" t="s">
        <v>226</v>
      </c>
      <c r="L45" t="s">
        <v>18</v>
      </c>
      <c r="M45" t="s">
        <v>27</v>
      </c>
      <c r="N45" t="s">
        <v>227</v>
      </c>
      <c r="O45" t="s">
        <v>18</v>
      </c>
      <c r="P45" t="s">
        <v>228</v>
      </c>
      <c r="Q45" t="s">
        <v>229</v>
      </c>
      <c r="S45" t="s">
        <v>18</v>
      </c>
      <c r="T45" t="s">
        <v>18</v>
      </c>
    </row>
    <row r="46" spans="1:20">
      <c r="A46" s="3" t="str">
        <f t="shared" si="0"/>
        <v>NodeRed-13-000045</v>
      </c>
      <c r="B46" t="s">
        <v>18</v>
      </c>
      <c r="C46" s="3" t="s">
        <v>19</v>
      </c>
      <c r="D46" s="3" t="s">
        <v>20</v>
      </c>
      <c r="E46" s="3" t="s">
        <v>21</v>
      </c>
      <c r="F46" s="3" t="s">
        <v>22</v>
      </c>
      <c r="G46" s="3" t="s">
        <v>23</v>
      </c>
      <c r="H46" t="s">
        <v>230</v>
      </c>
      <c r="I46" s="5" t="s">
        <v>25</v>
      </c>
      <c r="J46" s="6">
        <v>46014</v>
      </c>
      <c r="K46" t="s">
        <v>231</v>
      </c>
      <c r="L46" t="s">
        <v>18</v>
      </c>
      <c r="M46" t="s">
        <v>27</v>
      </c>
      <c r="N46" t="s">
        <v>232</v>
      </c>
      <c r="O46" t="s">
        <v>18</v>
      </c>
      <c r="P46" t="s">
        <v>233</v>
      </c>
      <c r="Q46" t="s">
        <v>234</v>
      </c>
      <c r="S46" t="s">
        <v>18</v>
      </c>
      <c r="T46" t="s">
        <v>18</v>
      </c>
    </row>
    <row r="47" spans="1:20">
      <c r="A47" s="3" t="str">
        <f t="shared" si="0"/>
        <v>NodeRed-13-000046</v>
      </c>
      <c r="B47" t="s">
        <v>18</v>
      </c>
      <c r="C47" s="3" t="s">
        <v>19</v>
      </c>
      <c r="D47" s="3" t="s">
        <v>20</v>
      </c>
      <c r="E47" s="3" t="s">
        <v>21</v>
      </c>
      <c r="F47" s="3" t="s">
        <v>22</v>
      </c>
      <c r="G47" s="3" t="s">
        <v>23</v>
      </c>
      <c r="H47" t="s">
        <v>235</v>
      </c>
      <c r="I47" s="5" t="s">
        <v>25</v>
      </c>
      <c r="J47" s="6">
        <v>46014</v>
      </c>
      <c r="K47" t="s">
        <v>236</v>
      </c>
      <c r="L47" t="s">
        <v>18</v>
      </c>
      <c r="M47" t="s">
        <v>27</v>
      </c>
      <c r="N47" t="s">
        <v>237</v>
      </c>
      <c r="O47" t="s">
        <v>18</v>
      </c>
      <c r="P47" t="s">
        <v>238</v>
      </c>
      <c r="Q47" t="s">
        <v>239</v>
      </c>
      <c r="S47" t="s">
        <v>18</v>
      </c>
      <c r="T47" t="s">
        <v>18</v>
      </c>
    </row>
    <row r="48" spans="1:20">
      <c r="A48" s="3" t="str">
        <f t="shared" si="0"/>
        <v>NodeRed-13-000047</v>
      </c>
      <c r="B48" t="s">
        <v>18</v>
      </c>
      <c r="C48" s="3" t="s">
        <v>19</v>
      </c>
      <c r="D48" s="3" t="s">
        <v>20</v>
      </c>
      <c r="E48" s="3" t="s">
        <v>21</v>
      </c>
      <c r="F48" s="3" t="s">
        <v>22</v>
      </c>
      <c r="G48" s="3" t="s">
        <v>23</v>
      </c>
      <c r="H48" t="s">
        <v>24</v>
      </c>
      <c r="I48" s="5" t="s">
        <v>25</v>
      </c>
      <c r="J48" s="6">
        <v>46014</v>
      </c>
      <c r="K48" t="s">
        <v>240</v>
      </c>
      <c r="L48" t="s">
        <v>18</v>
      </c>
      <c r="M48" t="s">
        <v>27</v>
      </c>
      <c r="N48" t="s">
        <v>241</v>
      </c>
      <c r="O48" t="s">
        <v>18</v>
      </c>
      <c r="P48" t="s">
        <v>29</v>
      </c>
      <c r="Q48" t="s">
        <v>242</v>
      </c>
      <c r="S48" t="s">
        <v>18</v>
      </c>
      <c r="T48" t="s">
        <v>18</v>
      </c>
    </row>
    <row r="49" spans="1:20">
      <c r="A49" s="3" t="str">
        <f t="shared" si="0"/>
        <v>NodeRed-13-000048</v>
      </c>
      <c r="B49" t="s">
        <v>18</v>
      </c>
      <c r="C49" s="3" t="s">
        <v>19</v>
      </c>
      <c r="D49" s="3" t="s">
        <v>20</v>
      </c>
      <c r="E49" s="3" t="s">
        <v>21</v>
      </c>
      <c r="F49" s="3" t="s">
        <v>22</v>
      </c>
      <c r="G49" s="3" t="s">
        <v>23</v>
      </c>
      <c r="H49" t="s">
        <v>243</v>
      </c>
      <c r="I49" s="5" t="s">
        <v>25</v>
      </c>
      <c r="J49" s="6">
        <v>46014</v>
      </c>
      <c r="K49" t="s">
        <v>244</v>
      </c>
      <c r="L49" t="s">
        <v>18</v>
      </c>
      <c r="M49" t="s">
        <v>27</v>
      </c>
      <c r="N49" t="s">
        <v>245</v>
      </c>
      <c r="O49" t="s">
        <v>18</v>
      </c>
      <c r="P49" t="s">
        <v>246</v>
      </c>
      <c r="Q49" t="s">
        <v>247</v>
      </c>
      <c r="S49" t="s">
        <v>18</v>
      </c>
      <c r="T49" t="s">
        <v>18</v>
      </c>
    </row>
    <row r="50" spans="1:20">
      <c r="A50" s="3" t="str">
        <f t="shared" si="0"/>
        <v>NodeRed-13-000049</v>
      </c>
      <c r="B50" t="s">
        <v>18</v>
      </c>
      <c r="C50" s="3" t="s">
        <v>19</v>
      </c>
      <c r="D50" s="3" t="s">
        <v>20</v>
      </c>
      <c r="E50" s="3" t="s">
        <v>21</v>
      </c>
      <c r="F50" s="3" t="s">
        <v>22</v>
      </c>
      <c r="G50" s="3" t="s">
        <v>23</v>
      </c>
      <c r="H50" t="s">
        <v>248</v>
      </c>
      <c r="I50" s="5" t="s">
        <v>25</v>
      </c>
      <c r="J50" s="6">
        <v>46014</v>
      </c>
      <c r="K50" t="s">
        <v>249</v>
      </c>
      <c r="L50" t="s">
        <v>18</v>
      </c>
      <c r="M50" t="s">
        <v>27</v>
      </c>
      <c r="N50" t="s">
        <v>250</v>
      </c>
      <c r="O50" t="s">
        <v>18</v>
      </c>
      <c r="P50" t="s">
        <v>251</v>
      </c>
      <c r="Q50" t="s">
        <v>252</v>
      </c>
      <c r="S50" t="s">
        <v>18</v>
      </c>
      <c r="T50" t="s">
        <v>18</v>
      </c>
    </row>
    <row r="51" spans="1:20">
      <c r="A51" s="3" t="str">
        <f t="shared" si="0"/>
        <v>NodeRed-13-000050</v>
      </c>
      <c r="B51" t="s">
        <v>18</v>
      </c>
      <c r="C51" s="3" t="s">
        <v>19</v>
      </c>
      <c r="D51" s="3" t="s">
        <v>20</v>
      </c>
      <c r="E51" s="3" t="s">
        <v>21</v>
      </c>
      <c r="F51" s="3" t="s">
        <v>22</v>
      </c>
      <c r="G51" s="3" t="s">
        <v>23</v>
      </c>
      <c r="H51" t="s">
        <v>253</v>
      </c>
      <c r="I51" s="5" t="s">
        <v>25</v>
      </c>
      <c r="J51" s="6">
        <v>46014</v>
      </c>
      <c r="K51" t="s">
        <v>254</v>
      </c>
      <c r="L51" t="s">
        <v>18</v>
      </c>
      <c r="M51" t="s">
        <v>27</v>
      </c>
      <c r="N51" t="s">
        <v>255</v>
      </c>
      <c r="O51" t="s">
        <v>18</v>
      </c>
      <c r="P51" t="s">
        <v>256</v>
      </c>
      <c r="Q51" t="s">
        <v>257</v>
      </c>
      <c r="S51" t="s">
        <v>18</v>
      </c>
      <c r="T51" t="s">
        <v>18</v>
      </c>
    </row>
    <row r="52" spans="1:20">
      <c r="A52" s="3" t="str">
        <f t="shared" si="0"/>
        <v>NodeRed-13-000051</v>
      </c>
      <c r="B52" t="s">
        <v>18</v>
      </c>
      <c r="C52" s="3" t="s">
        <v>19</v>
      </c>
      <c r="D52" s="3" t="s">
        <v>20</v>
      </c>
      <c r="E52" s="3" t="s">
        <v>21</v>
      </c>
      <c r="F52" s="3" t="s">
        <v>22</v>
      </c>
      <c r="G52" s="3" t="s">
        <v>23</v>
      </c>
      <c r="H52" t="s">
        <v>258</v>
      </c>
      <c r="I52" s="5" t="s">
        <v>25</v>
      </c>
      <c r="J52" s="6">
        <v>46014</v>
      </c>
      <c r="K52" t="s">
        <v>259</v>
      </c>
      <c r="L52" t="s">
        <v>18</v>
      </c>
      <c r="M52" t="s">
        <v>27</v>
      </c>
      <c r="N52" t="s">
        <v>260</v>
      </c>
      <c r="O52" t="s">
        <v>18</v>
      </c>
      <c r="P52" t="s">
        <v>261</v>
      </c>
      <c r="Q52" t="s">
        <v>262</v>
      </c>
      <c r="S52" t="s">
        <v>18</v>
      </c>
      <c r="T52" t="s">
        <v>18</v>
      </c>
    </row>
    <row r="53" spans="1:20">
      <c r="A53" s="3" t="str">
        <f t="shared" si="0"/>
        <v>NodeRed-13-000052</v>
      </c>
      <c r="B53" t="s">
        <v>18</v>
      </c>
      <c r="C53" s="3" t="s">
        <v>19</v>
      </c>
      <c r="D53" s="3" t="s">
        <v>20</v>
      </c>
      <c r="E53" s="3" t="s">
        <v>21</v>
      </c>
      <c r="F53" s="3" t="s">
        <v>22</v>
      </c>
      <c r="G53" s="3" t="s">
        <v>23</v>
      </c>
      <c r="H53" t="s">
        <v>263</v>
      </c>
      <c r="I53" s="5" t="s">
        <v>25</v>
      </c>
      <c r="J53" s="6">
        <v>46014</v>
      </c>
      <c r="K53" t="s">
        <v>264</v>
      </c>
      <c r="L53" t="s">
        <v>18</v>
      </c>
      <c r="M53" t="s">
        <v>27</v>
      </c>
      <c r="N53" t="s">
        <v>265</v>
      </c>
      <c r="O53" t="s">
        <v>18</v>
      </c>
      <c r="P53" t="s">
        <v>266</v>
      </c>
      <c r="Q53" t="s">
        <v>267</v>
      </c>
      <c r="S53" t="s">
        <v>18</v>
      </c>
      <c r="T53" t="s">
        <v>18</v>
      </c>
    </row>
    <row r="54" spans="1:20">
      <c r="A54" s="3" t="str">
        <f t="shared" si="0"/>
        <v>NodeRed-13-000053</v>
      </c>
      <c r="B54" t="s">
        <v>18</v>
      </c>
      <c r="C54" s="3" t="s">
        <v>19</v>
      </c>
      <c r="D54" s="3" t="s">
        <v>20</v>
      </c>
      <c r="E54" s="3" t="s">
        <v>21</v>
      </c>
      <c r="F54" s="3" t="s">
        <v>22</v>
      </c>
      <c r="G54" s="3" t="s">
        <v>23</v>
      </c>
      <c r="H54" t="s">
        <v>268</v>
      </c>
      <c r="I54" s="5" t="s">
        <v>25</v>
      </c>
      <c r="J54" s="6">
        <v>46014</v>
      </c>
      <c r="K54" t="s">
        <v>269</v>
      </c>
      <c r="L54" t="s">
        <v>18</v>
      </c>
      <c r="M54" t="s">
        <v>27</v>
      </c>
      <c r="N54" t="s">
        <v>270</v>
      </c>
      <c r="O54" t="s">
        <v>18</v>
      </c>
      <c r="P54" t="s">
        <v>271</v>
      </c>
      <c r="Q54" t="s">
        <v>272</v>
      </c>
      <c r="S54" t="s">
        <v>18</v>
      </c>
      <c r="T54" t="s">
        <v>18</v>
      </c>
    </row>
    <row r="55" spans="1:20">
      <c r="A55" s="3" t="str">
        <f t="shared" si="0"/>
        <v>NodeRed-13-000054</v>
      </c>
      <c r="B55" t="s">
        <v>18</v>
      </c>
      <c r="C55" s="3" t="s">
        <v>19</v>
      </c>
      <c r="D55" s="3" t="s">
        <v>20</v>
      </c>
      <c r="E55" s="3" t="s">
        <v>21</v>
      </c>
      <c r="F55" s="3" t="s">
        <v>22</v>
      </c>
      <c r="G55" s="3" t="s">
        <v>23</v>
      </c>
      <c r="H55" t="s">
        <v>273</v>
      </c>
      <c r="I55" s="5" t="s">
        <v>25</v>
      </c>
      <c r="J55" s="6">
        <v>46014</v>
      </c>
      <c r="K55" t="s">
        <v>274</v>
      </c>
      <c r="L55" t="s">
        <v>18</v>
      </c>
      <c r="M55" t="s">
        <v>27</v>
      </c>
      <c r="N55" t="s">
        <v>275</v>
      </c>
      <c r="O55" t="s">
        <v>18</v>
      </c>
      <c r="P55" t="s">
        <v>276</v>
      </c>
      <c r="Q55" t="s">
        <v>277</v>
      </c>
      <c r="S55" t="s">
        <v>18</v>
      </c>
      <c r="T55" t="s">
        <v>18</v>
      </c>
    </row>
    <row r="56" spans="1:20">
      <c r="A56" s="3" t="str">
        <f t="shared" si="0"/>
        <v>NodeRed-13-000055</v>
      </c>
      <c r="B56" t="s">
        <v>18</v>
      </c>
      <c r="C56" s="3" t="s">
        <v>19</v>
      </c>
      <c r="D56" s="3" t="s">
        <v>20</v>
      </c>
      <c r="E56" s="3" t="s">
        <v>21</v>
      </c>
      <c r="F56" s="3" t="s">
        <v>22</v>
      </c>
      <c r="G56" s="3" t="s">
        <v>23</v>
      </c>
      <c r="H56" t="s">
        <v>278</v>
      </c>
      <c r="I56" s="5" t="s">
        <v>25</v>
      </c>
      <c r="J56" s="6">
        <v>46014</v>
      </c>
      <c r="K56" t="s">
        <v>279</v>
      </c>
      <c r="L56" t="s">
        <v>18</v>
      </c>
      <c r="M56" t="s">
        <v>27</v>
      </c>
      <c r="N56" t="s">
        <v>280</v>
      </c>
      <c r="O56" t="s">
        <v>18</v>
      </c>
      <c r="P56" t="s">
        <v>281</v>
      </c>
      <c r="Q56" t="s">
        <v>282</v>
      </c>
      <c r="S56" t="s">
        <v>18</v>
      </c>
      <c r="T56" t="s">
        <v>18</v>
      </c>
    </row>
    <row r="57" spans="1:20">
      <c r="A57" s="3" t="str">
        <f t="shared" si="0"/>
        <v>NodeRed-13-000056</v>
      </c>
      <c r="B57" t="s">
        <v>18</v>
      </c>
      <c r="C57" s="3" t="s">
        <v>19</v>
      </c>
      <c r="D57" s="3" t="s">
        <v>20</v>
      </c>
      <c r="E57" s="3" t="s">
        <v>21</v>
      </c>
      <c r="F57" s="3" t="s">
        <v>22</v>
      </c>
      <c r="G57" s="3" t="s">
        <v>23</v>
      </c>
      <c r="H57" t="s">
        <v>283</v>
      </c>
      <c r="I57" s="5" t="s">
        <v>25</v>
      </c>
      <c r="J57" s="6">
        <v>46014</v>
      </c>
      <c r="K57" t="s">
        <v>284</v>
      </c>
      <c r="L57" t="s">
        <v>18</v>
      </c>
      <c r="M57" t="s">
        <v>27</v>
      </c>
      <c r="N57" t="s">
        <v>285</v>
      </c>
      <c r="O57" t="s">
        <v>18</v>
      </c>
      <c r="P57" t="s">
        <v>286</v>
      </c>
      <c r="Q57" t="s">
        <v>287</v>
      </c>
      <c r="S57" t="s">
        <v>18</v>
      </c>
      <c r="T57" t="s">
        <v>18</v>
      </c>
    </row>
    <row r="58" spans="1:20">
      <c r="A58" s="3" t="str">
        <f t="shared" si="0"/>
        <v>NodeRed-13-000057</v>
      </c>
      <c r="B58" t="s">
        <v>18</v>
      </c>
      <c r="C58" s="3" t="s">
        <v>19</v>
      </c>
      <c r="D58" s="3" t="s">
        <v>20</v>
      </c>
      <c r="E58" s="3" t="s">
        <v>21</v>
      </c>
      <c r="F58" s="3" t="s">
        <v>22</v>
      </c>
      <c r="G58" s="3" t="s">
        <v>23</v>
      </c>
      <c r="H58" t="s">
        <v>288</v>
      </c>
      <c r="I58" s="5" t="s">
        <v>25</v>
      </c>
      <c r="J58" s="6">
        <v>46014</v>
      </c>
      <c r="K58" t="s">
        <v>289</v>
      </c>
      <c r="L58" t="s">
        <v>18</v>
      </c>
      <c r="M58" t="s">
        <v>27</v>
      </c>
      <c r="N58" t="s">
        <v>290</v>
      </c>
      <c r="O58" t="s">
        <v>18</v>
      </c>
      <c r="P58" t="s">
        <v>291</v>
      </c>
      <c r="Q58" t="s">
        <v>292</v>
      </c>
      <c r="S58" t="s">
        <v>18</v>
      </c>
      <c r="T58" t="s">
        <v>18</v>
      </c>
    </row>
    <row r="59" spans="1:20">
      <c r="A59" s="3" t="str">
        <f t="shared" si="0"/>
        <v>NodeRed-13-000058</v>
      </c>
      <c r="B59" t="s">
        <v>18</v>
      </c>
      <c r="C59" s="3" t="s">
        <v>19</v>
      </c>
      <c r="D59" s="3" t="s">
        <v>20</v>
      </c>
      <c r="E59" s="3" t="s">
        <v>21</v>
      </c>
      <c r="F59" s="3" t="s">
        <v>22</v>
      </c>
      <c r="G59" s="3" t="s">
        <v>23</v>
      </c>
      <c r="H59" t="s">
        <v>293</v>
      </c>
      <c r="I59" s="5" t="s">
        <v>25</v>
      </c>
      <c r="J59" s="6">
        <v>46014</v>
      </c>
      <c r="K59" t="s">
        <v>294</v>
      </c>
      <c r="L59" t="s">
        <v>18</v>
      </c>
      <c r="M59" t="s">
        <v>27</v>
      </c>
      <c r="N59" t="s">
        <v>295</v>
      </c>
      <c r="O59" t="s">
        <v>18</v>
      </c>
      <c r="P59" t="s">
        <v>296</v>
      </c>
      <c r="Q59" t="s">
        <v>297</v>
      </c>
      <c r="S59" t="s">
        <v>18</v>
      </c>
      <c r="T59" t="s">
        <v>18</v>
      </c>
    </row>
    <row r="60" spans="1:20">
      <c r="A60" s="3" t="str">
        <f t="shared" si="0"/>
        <v>NodeRed-13-000059</v>
      </c>
      <c r="B60" t="s">
        <v>18</v>
      </c>
      <c r="C60" s="3" t="s">
        <v>19</v>
      </c>
      <c r="D60" s="3" t="s">
        <v>20</v>
      </c>
      <c r="E60" s="3" t="s">
        <v>21</v>
      </c>
      <c r="F60" s="3" t="s">
        <v>22</v>
      </c>
      <c r="G60" s="3" t="s">
        <v>23</v>
      </c>
      <c r="H60" t="s">
        <v>298</v>
      </c>
      <c r="I60" s="5" t="s">
        <v>25</v>
      </c>
      <c r="J60" s="6">
        <v>46014</v>
      </c>
      <c r="K60" t="s">
        <v>299</v>
      </c>
      <c r="L60" t="s">
        <v>18</v>
      </c>
      <c r="M60" t="s">
        <v>27</v>
      </c>
      <c r="N60" t="s">
        <v>300</v>
      </c>
      <c r="O60" t="s">
        <v>18</v>
      </c>
      <c r="P60" t="s">
        <v>97</v>
      </c>
      <c r="Q60" t="s">
        <v>301</v>
      </c>
      <c r="S60" t="s">
        <v>18</v>
      </c>
      <c r="T60" t="s">
        <v>18</v>
      </c>
    </row>
    <row r="61" spans="1:20">
      <c r="A61" s="3" t="str">
        <f t="shared" si="0"/>
        <v>NodeRed-13-000060</v>
      </c>
      <c r="B61" t="s">
        <v>18</v>
      </c>
      <c r="C61" s="3" t="s">
        <v>19</v>
      </c>
      <c r="D61" s="3" t="s">
        <v>20</v>
      </c>
      <c r="E61" s="3" t="s">
        <v>21</v>
      </c>
      <c r="F61" s="3" t="s">
        <v>22</v>
      </c>
      <c r="G61" s="3" t="s">
        <v>23</v>
      </c>
      <c r="H61" t="s">
        <v>302</v>
      </c>
      <c r="I61" s="5" t="s">
        <v>25</v>
      </c>
      <c r="J61" s="6">
        <v>46014</v>
      </c>
      <c r="K61" t="s">
        <v>303</v>
      </c>
      <c r="L61" t="s">
        <v>18</v>
      </c>
      <c r="M61" t="s">
        <v>27</v>
      </c>
      <c r="N61" t="s">
        <v>304</v>
      </c>
      <c r="O61" t="s">
        <v>18</v>
      </c>
      <c r="P61" t="s">
        <v>305</v>
      </c>
      <c r="Q61" t="s">
        <v>306</v>
      </c>
      <c r="S61" t="s">
        <v>18</v>
      </c>
      <c r="T61" t="s">
        <v>18</v>
      </c>
    </row>
    <row r="62" spans="1:20">
      <c r="A62" s="3" t="str">
        <f t="shared" si="0"/>
        <v>NodeRed-13-000061</v>
      </c>
      <c r="B62" t="s">
        <v>18</v>
      </c>
      <c r="C62" s="3" t="s">
        <v>19</v>
      </c>
      <c r="D62" s="3" t="s">
        <v>20</v>
      </c>
      <c r="E62" s="3" t="s">
        <v>21</v>
      </c>
      <c r="F62" s="3" t="s">
        <v>22</v>
      </c>
      <c r="G62" s="3" t="s">
        <v>23</v>
      </c>
      <c r="H62" t="s">
        <v>307</v>
      </c>
      <c r="I62" s="5" t="s">
        <v>25</v>
      </c>
      <c r="J62" s="6">
        <v>46014</v>
      </c>
      <c r="K62" t="s">
        <v>308</v>
      </c>
      <c r="L62" t="s">
        <v>18</v>
      </c>
      <c r="M62" t="s">
        <v>27</v>
      </c>
      <c r="N62" t="s">
        <v>309</v>
      </c>
      <c r="O62" t="s">
        <v>18</v>
      </c>
      <c r="P62" t="s">
        <v>168</v>
      </c>
      <c r="Q62" t="s">
        <v>310</v>
      </c>
      <c r="S62" t="s">
        <v>18</v>
      </c>
      <c r="T62" t="s">
        <v>18</v>
      </c>
    </row>
    <row r="63" spans="1:20">
      <c r="A63" s="3" t="str">
        <f t="shared" si="0"/>
        <v>NodeRed-13-000062</v>
      </c>
      <c r="B63" t="s">
        <v>18</v>
      </c>
      <c r="C63" s="3" t="s">
        <v>19</v>
      </c>
      <c r="D63" s="3" t="s">
        <v>20</v>
      </c>
      <c r="E63" s="3" t="s">
        <v>21</v>
      </c>
      <c r="F63" s="3" t="s">
        <v>22</v>
      </c>
      <c r="G63" s="3" t="s">
        <v>23</v>
      </c>
      <c r="H63" t="s">
        <v>311</v>
      </c>
      <c r="I63" s="5" t="s">
        <v>25</v>
      </c>
      <c r="J63" s="6">
        <v>46014</v>
      </c>
      <c r="K63" t="s">
        <v>312</v>
      </c>
      <c r="L63" t="s">
        <v>18</v>
      </c>
      <c r="M63" t="s">
        <v>27</v>
      </c>
      <c r="N63" t="s">
        <v>313</v>
      </c>
      <c r="O63" t="s">
        <v>18</v>
      </c>
      <c r="P63" t="s">
        <v>314</v>
      </c>
      <c r="Q63" t="s">
        <v>315</v>
      </c>
      <c r="S63" t="s">
        <v>18</v>
      </c>
      <c r="T63" t="s">
        <v>18</v>
      </c>
    </row>
    <row r="64" spans="1:20">
      <c r="A64" s="3" t="str">
        <f t="shared" si="0"/>
        <v>NodeRed-13-000063</v>
      </c>
      <c r="B64" t="s">
        <v>18</v>
      </c>
      <c r="C64" s="3" t="s">
        <v>19</v>
      </c>
      <c r="D64" s="3" t="s">
        <v>20</v>
      </c>
      <c r="E64" s="3" t="s">
        <v>21</v>
      </c>
      <c r="F64" s="3" t="s">
        <v>22</v>
      </c>
      <c r="G64" s="3" t="s">
        <v>23</v>
      </c>
      <c r="H64" t="s">
        <v>316</v>
      </c>
      <c r="I64" s="5" t="s">
        <v>25</v>
      </c>
      <c r="J64" s="6">
        <v>46014</v>
      </c>
      <c r="K64" t="s">
        <v>317</v>
      </c>
      <c r="L64" t="s">
        <v>18</v>
      </c>
      <c r="M64" t="s">
        <v>27</v>
      </c>
      <c r="N64" t="s">
        <v>318</v>
      </c>
      <c r="O64" t="s">
        <v>18</v>
      </c>
      <c r="P64" t="s">
        <v>141</v>
      </c>
      <c r="Q64" t="s">
        <v>319</v>
      </c>
      <c r="S64" t="s">
        <v>18</v>
      </c>
      <c r="T64" t="s">
        <v>18</v>
      </c>
    </row>
    <row r="65" spans="1:20">
      <c r="A65" s="3" t="str">
        <f t="shared" si="0"/>
        <v>NodeRed-13-000064</v>
      </c>
      <c r="B65" t="s">
        <v>18</v>
      </c>
      <c r="C65" s="3" t="s">
        <v>19</v>
      </c>
      <c r="D65" s="3" t="s">
        <v>20</v>
      </c>
      <c r="E65" s="3" t="s">
        <v>21</v>
      </c>
      <c r="F65" s="3" t="s">
        <v>22</v>
      </c>
      <c r="G65" s="3" t="s">
        <v>23</v>
      </c>
      <c r="H65" t="s">
        <v>320</v>
      </c>
      <c r="I65" s="5" t="s">
        <v>25</v>
      </c>
      <c r="J65" s="6">
        <v>46014</v>
      </c>
      <c r="K65" t="s">
        <v>321</v>
      </c>
      <c r="L65" t="s">
        <v>18</v>
      </c>
      <c r="M65" t="s">
        <v>27</v>
      </c>
      <c r="N65" t="s">
        <v>322</v>
      </c>
      <c r="O65" t="s">
        <v>18</v>
      </c>
      <c r="P65" t="s">
        <v>323</v>
      </c>
      <c r="Q65" t="s">
        <v>324</v>
      </c>
      <c r="S65" t="s">
        <v>18</v>
      </c>
      <c r="T65" t="s">
        <v>18</v>
      </c>
    </row>
    <row r="66" spans="1:20">
      <c r="A66" s="3" t="str">
        <f t="shared" ref="A66:A85" si="1">_xlfn.CONCAT("NodeRed-13-",TEXT(ROW()-1,"000000"))</f>
        <v>NodeRed-13-000065</v>
      </c>
      <c r="B66" t="s">
        <v>18</v>
      </c>
      <c r="C66" s="3" t="s">
        <v>19</v>
      </c>
      <c r="D66" s="3" t="s">
        <v>20</v>
      </c>
      <c r="E66" s="3" t="s">
        <v>21</v>
      </c>
      <c r="F66" s="3" t="s">
        <v>22</v>
      </c>
      <c r="G66" s="3" t="s">
        <v>23</v>
      </c>
      <c r="H66" t="s">
        <v>325</v>
      </c>
      <c r="I66" s="5" t="s">
        <v>25</v>
      </c>
      <c r="J66" s="6">
        <v>46014</v>
      </c>
      <c r="K66" t="s">
        <v>326</v>
      </c>
      <c r="L66" t="s">
        <v>18</v>
      </c>
      <c r="M66" t="s">
        <v>27</v>
      </c>
      <c r="N66" t="s">
        <v>327</v>
      </c>
      <c r="O66" t="s">
        <v>18</v>
      </c>
      <c r="P66" t="s">
        <v>328</v>
      </c>
      <c r="Q66" t="s">
        <v>329</v>
      </c>
      <c r="S66" t="s">
        <v>18</v>
      </c>
      <c r="T66" t="s">
        <v>18</v>
      </c>
    </row>
    <row r="67" spans="1:20">
      <c r="A67" s="3" t="str">
        <f t="shared" si="1"/>
        <v>NodeRed-13-000066</v>
      </c>
      <c r="B67" t="s">
        <v>18</v>
      </c>
      <c r="C67" s="3" t="s">
        <v>19</v>
      </c>
      <c r="D67" s="3" t="s">
        <v>20</v>
      </c>
      <c r="E67" s="3" t="s">
        <v>21</v>
      </c>
      <c r="F67" s="3" t="s">
        <v>22</v>
      </c>
      <c r="G67" s="3" t="s">
        <v>23</v>
      </c>
      <c r="H67" t="s">
        <v>298</v>
      </c>
      <c r="I67" s="5" t="s">
        <v>25</v>
      </c>
      <c r="J67" s="6">
        <v>46014</v>
      </c>
      <c r="K67" t="s">
        <v>330</v>
      </c>
      <c r="L67" t="s">
        <v>18</v>
      </c>
      <c r="M67" t="s">
        <v>27</v>
      </c>
      <c r="N67" t="s">
        <v>331</v>
      </c>
      <c r="O67" t="s">
        <v>18</v>
      </c>
      <c r="P67" t="s">
        <v>97</v>
      </c>
      <c r="Q67" t="s">
        <v>332</v>
      </c>
      <c r="S67" t="s">
        <v>18</v>
      </c>
      <c r="T67" t="s">
        <v>18</v>
      </c>
    </row>
    <row r="68" spans="1:20">
      <c r="A68" s="3" t="str">
        <f t="shared" si="1"/>
        <v>NodeRed-13-000067</v>
      </c>
      <c r="B68" t="s">
        <v>18</v>
      </c>
      <c r="C68" s="3" t="s">
        <v>19</v>
      </c>
      <c r="D68" s="3" t="s">
        <v>20</v>
      </c>
      <c r="E68" s="3" t="s">
        <v>21</v>
      </c>
      <c r="F68" s="3" t="s">
        <v>22</v>
      </c>
      <c r="G68" s="3" t="s">
        <v>23</v>
      </c>
      <c r="H68" t="s">
        <v>333</v>
      </c>
      <c r="I68" s="5" t="s">
        <v>25</v>
      </c>
      <c r="J68" s="6">
        <v>46014</v>
      </c>
      <c r="K68" t="s">
        <v>334</v>
      </c>
      <c r="L68" t="s">
        <v>18</v>
      </c>
      <c r="M68" t="s">
        <v>27</v>
      </c>
      <c r="N68" t="s">
        <v>335</v>
      </c>
      <c r="O68" t="s">
        <v>18</v>
      </c>
      <c r="P68" t="s">
        <v>336</v>
      </c>
      <c r="Q68" t="s">
        <v>337</v>
      </c>
      <c r="S68" t="s">
        <v>18</v>
      </c>
      <c r="T68" t="s">
        <v>18</v>
      </c>
    </row>
    <row r="69" spans="1:20">
      <c r="A69" s="3" t="str">
        <f t="shared" si="1"/>
        <v>NodeRed-13-000068</v>
      </c>
      <c r="B69" t="s">
        <v>18</v>
      </c>
      <c r="C69" s="3" t="s">
        <v>19</v>
      </c>
      <c r="D69" s="3" t="s">
        <v>20</v>
      </c>
      <c r="E69" s="3" t="s">
        <v>21</v>
      </c>
      <c r="F69" s="3" t="s">
        <v>22</v>
      </c>
      <c r="G69" s="3" t="s">
        <v>23</v>
      </c>
      <c r="H69" t="s">
        <v>338</v>
      </c>
      <c r="I69" s="5" t="s">
        <v>25</v>
      </c>
      <c r="J69" s="6">
        <v>46014</v>
      </c>
      <c r="K69" t="s">
        <v>339</v>
      </c>
      <c r="L69" t="s">
        <v>18</v>
      </c>
      <c r="M69" t="s">
        <v>27</v>
      </c>
      <c r="N69" t="s">
        <v>340</v>
      </c>
      <c r="O69" t="s">
        <v>18</v>
      </c>
      <c r="P69" t="s">
        <v>341</v>
      </c>
      <c r="Q69" t="s">
        <v>342</v>
      </c>
      <c r="S69" t="s">
        <v>18</v>
      </c>
      <c r="T69" t="s">
        <v>18</v>
      </c>
    </row>
    <row r="70" spans="1:20">
      <c r="A70" s="3" t="str">
        <f t="shared" si="1"/>
        <v>NodeRed-13-000069</v>
      </c>
      <c r="B70" t="s">
        <v>18</v>
      </c>
      <c r="C70" s="3" t="s">
        <v>19</v>
      </c>
      <c r="D70" s="3" t="s">
        <v>20</v>
      </c>
      <c r="E70" s="3" t="s">
        <v>21</v>
      </c>
      <c r="F70" s="3" t="s">
        <v>22</v>
      </c>
      <c r="G70" s="3" t="s">
        <v>23</v>
      </c>
      <c r="H70" t="s">
        <v>116</v>
      </c>
      <c r="I70" s="5" t="s">
        <v>25</v>
      </c>
      <c r="J70" s="6">
        <v>46014</v>
      </c>
      <c r="K70" t="s">
        <v>343</v>
      </c>
      <c r="L70" t="s">
        <v>18</v>
      </c>
      <c r="M70" t="s">
        <v>27</v>
      </c>
      <c r="N70" t="s">
        <v>344</v>
      </c>
      <c r="O70" t="s">
        <v>18</v>
      </c>
      <c r="P70" t="s">
        <v>345</v>
      </c>
      <c r="Q70" t="s">
        <v>346</v>
      </c>
      <c r="S70" t="s">
        <v>18</v>
      </c>
      <c r="T70" t="s">
        <v>18</v>
      </c>
    </row>
    <row r="71" spans="1:20">
      <c r="A71" s="3" t="str">
        <f t="shared" si="1"/>
        <v>NodeRed-13-000070</v>
      </c>
      <c r="B71" t="s">
        <v>18</v>
      </c>
      <c r="C71" s="3" t="s">
        <v>19</v>
      </c>
      <c r="D71" s="3" t="s">
        <v>20</v>
      </c>
      <c r="E71" s="3" t="s">
        <v>21</v>
      </c>
      <c r="F71" s="3" t="s">
        <v>22</v>
      </c>
      <c r="G71" s="3" t="s">
        <v>23</v>
      </c>
      <c r="H71" t="s">
        <v>64</v>
      </c>
      <c r="I71" s="5" t="s">
        <v>25</v>
      </c>
      <c r="J71" s="6">
        <v>46014</v>
      </c>
      <c r="K71" t="s">
        <v>347</v>
      </c>
      <c r="L71" t="s">
        <v>18</v>
      </c>
      <c r="M71" t="s">
        <v>27</v>
      </c>
      <c r="N71" t="s">
        <v>348</v>
      </c>
      <c r="O71" t="s">
        <v>18</v>
      </c>
      <c r="P71" t="s">
        <v>67</v>
      </c>
      <c r="Q71" t="s">
        <v>349</v>
      </c>
      <c r="S71" t="s">
        <v>18</v>
      </c>
      <c r="T71" t="s">
        <v>18</v>
      </c>
    </row>
    <row r="72" spans="1:20">
      <c r="A72" s="3" t="str">
        <f t="shared" si="1"/>
        <v>NodeRed-13-000071</v>
      </c>
      <c r="B72" t="s">
        <v>18</v>
      </c>
      <c r="C72" s="3" t="s">
        <v>19</v>
      </c>
      <c r="D72" s="3" t="s">
        <v>20</v>
      </c>
      <c r="E72" s="3" t="s">
        <v>21</v>
      </c>
      <c r="F72" s="3" t="s">
        <v>22</v>
      </c>
      <c r="G72" s="3" t="s">
        <v>23</v>
      </c>
      <c r="H72" t="s">
        <v>350</v>
      </c>
      <c r="I72" s="5" t="s">
        <v>25</v>
      </c>
      <c r="J72" s="6">
        <v>46014</v>
      </c>
      <c r="K72" t="s">
        <v>351</v>
      </c>
      <c r="L72" t="s">
        <v>18</v>
      </c>
      <c r="M72" t="s">
        <v>27</v>
      </c>
      <c r="N72" t="s">
        <v>352</v>
      </c>
      <c r="O72" t="s">
        <v>18</v>
      </c>
      <c r="P72" t="s">
        <v>353</v>
      </c>
      <c r="Q72" t="s">
        <v>354</v>
      </c>
      <c r="S72" t="s">
        <v>18</v>
      </c>
      <c r="T72" t="s">
        <v>18</v>
      </c>
    </row>
    <row r="73" spans="1:20">
      <c r="A73" s="3" t="str">
        <f t="shared" si="1"/>
        <v>NodeRed-13-000072</v>
      </c>
      <c r="B73" t="s">
        <v>18</v>
      </c>
      <c r="C73" s="3" t="s">
        <v>19</v>
      </c>
      <c r="D73" s="3" t="s">
        <v>20</v>
      </c>
      <c r="E73" s="3" t="s">
        <v>21</v>
      </c>
      <c r="F73" s="3" t="s">
        <v>22</v>
      </c>
      <c r="G73" s="3" t="s">
        <v>23</v>
      </c>
      <c r="H73" t="s">
        <v>355</v>
      </c>
      <c r="I73" s="5" t="s">
        <v>25</v>
      </c>
      <c r="J73" s="6">
        <v>46014</v>
      </c>
      <c r="K73" t="s">
        <v>356</v>
      </c>
      <c r="L73" t="s">
        <v>18</v>
      </c>
      <c r="M73" t="s">
        <v>27</v>
      </c>
      <c r="N73" t="s">
        <v>357</v>
      </c>
      <c r="O73" t="s">
        <v>18</v>
      </c>
      <c r="P73" t="s">
        <v>358</v>
      </c>
      <c r="Q73" t="s">
        <v>359</v>
      </c>
      <c r="S73" t="s">
        <v>18</v>
      </c>
      <c r="T73" t="s">
        <v>18</v>
      </c>
    </row>
    <row r="74" spans="1:20">
      <c r="A74" s="3" t="str">
        <f t="shared" si="1"/>
        <v>NodeRed-13-000073</v>
      </c>
      <c r="B74" t="s">
        <v>18</v>
      </c>
      <c r="C74" s="3" t="s">
        <v>19</v>
      </c>
      <c r="D74" s="3" t="s">
        <v>20</v>
      </c>
      <c r="E74" s="3" t="s">
        <v>21</v>
      </c>
      <c r="F74" s="3" t="s">
        <v>22</v>
      </c>
      <c r="G74" s="3" t="s">
        <v>23</v>
      </c>
      <c r="H74" t="s">
        <v>360</v>
      </c>
      <c r="I74" s="5" t="s">
        <v>25</v>
      </c>
      <c r="J74" s="6">
        <v>46014</v>
      </c>
      <c r="K74" t="s">
        <v>361</v>
      </c>
      <c r="L74" t="s">
        <v>18</v>
      </c>
      <c r="M74" t="s">
        <v>27</v>
      </c>
      <c r="N74" t="s">
        <v>362</v>
      </c>
      <c r="O74" t="s">
        <v>18</v>
      </c>
      <c r="P74" t="s">
        <v>39</v>
      </c>
      <c r="Q74" t="s">
        <v>363</v>
      </c>
      <c r="S74" t="s">
        <v>18</v>
      </c>
      <c r="T74" t="s">
        <v>18</v>
      </c>
    </row>
    <row r="75" spans="1:20">
      <c r="A75" s="3" t="str">
        <f t="shared" si="1"/>
        <v>NodeRed-13-000074</v>
      </c>
      <c r="B75" t="s">
        <v>18</v>
      </c>
      <c r="C75" s="3" t="s">
        <v>19</v>
      </c>
      <c r="D75" s="3" t="s">
        <v>20</v>
      </c>
      <c r="E75" s="3" t="s">
        <v>21</v>
      </c>
      <c r="F75" s="3" t="s">
        <v>22</v>
      </c>
      <c r="G75" s="3" t="s">
        <v>23</v>
      </c>
      <c r="H75" t="s">
        <v>364</v>
      </c>
      <c r="I75" s="5" t="s">
        <v>25</v>
      </c>
      <c r="J75" s="6">
        <v>46014</v>
      </c>
      <c r="K75" t="s">
        <v>365</v>
      </c>
      <c r="L75" t="s">
        <v>18</v>
      </c>
      <c r="M75" t="s">
        <v>27</v>
      </c>
      <c r="N75" t="s">
        <v>366</v>
      </c>
      <c r="O75" t="s">
        <v>18</v>
      </c>
      <c r="P75" t="s">
        <v>367</v>
      </c>
      <c r="Q75" t="s">
        <v>368</v>
      </c>
      <c r="S75" t="s">
        <v>18</v>
      </c>
      <c r="T75" t="s">
        <v>18</v>
      </c>
    </row>
    <row r="76" spans="1:20">
      <c r="A76" s="3" t="str">
        <f t="shared" si="1"/>
        <v>NodeRed-13-000075</v>
      </c>
      <c r="B76" t="s">
        <v>18</v>
      </c>
      <c r="C76" s="3" t="s">
        <v>19</v>
      </c>
      <c r="D76" s="3" t="s">
        <v>20</v>
      </c>
      <c r="E76" s="3" t="s">
        <v>21</v>
      </c>
      <c r="F76" s="3" t="s">
        <v>22</v>
      </c>
      <c r="G76" s="3" t="s">
        <v>23</v>
      </c>
      <c r="H76" t="s">
        <v>175</v>
      </c>
      <c r="I76" s="5" t="s">
        <v>25</v>
      </c>
      <c r="J76" s="6">
        <v>46014</v>
      </c>
      <c r="K76" t="s">
        <v>369</v>
      </c>
      <c r="L76" t="s">
        <v>18</v>
      </c>
      <c r="M76" t="s">
        <v>27</v>
      </c>
      <c r="N76" t="s">
        <v>370</v>
      </c>
      <c r="O76" t="s">
        <v>18</v>
      </c>
      <c r="P76" t="s">
        <v>371</v>
      </c>
      <c r="Q76" t="s">
        <v>372</v>
      </c>
      <c r="S76" t="s">
        <v>18</v>
      </c>
      <c r="T76" t="s">
        <v>18</v>
      </c>
    </row>
    <row r="77" spans="1:20">
      <c r="A77" s="3" t="str">
        <f t="shared" si="1"/>
        <v>NodeRed-13-000076</v>
      </c>
      <c r="B77" t="s">
        <v>18</v>
      </c>
      <c r="C77" s="3" t="s">
        <v>19</v>
      </c>
      <c r="D77" s="3" t="s">
        <v>20</v>
      </c>
      <c r="E77" s="3" t="s">
        <v>21</v>
      </c>
      <c r="F77" s="3" t="s">
        <v>22</v>
      </c>
      <c r="G77" s="3" t="s">
        <v>23</v>
      </c>
      <c r="H77" t="s">
        <v>333</v>
      </c>
      <c r="I77" s="5" t="s">
        <v>25</v>
      </c>
      <c r="J77" s="6">
        <v>46014</v>
      </c>
      <c r="K77" t="s">
        <v>373</v>
      </c>
      <c r="L77" t="s">
        <v>18</v>
      </c>
      <c r="M77" t="s">
        <v>27</v>
      </c>
      <c r="N77" t="s">
        <v>374</v>
      </c>
      <c r="O77" t="s">
        <v>18</v>
      </c>
      <c r="P77" t="s">
        <v>375</v>
      </c>
      <c r="Q77" t="s">
        <v>376</v>
      </c>
      <c r="S77" t="s">
        <v>18</v>
      </c>
      <c r="T77" t="s">
        <v>18</v>
      </c>
    </row>
    <row r="78" spans="1:20">
      <c r="A78" s="3" t="str">
        <f t="shared" si="1"/>
        <v>NodeRed-13-000077</v>
      </c>
      <c r="B78" t="s">
        <v>18</v>
      </c>
      <c r="C78" s="3" t="s">
        <v>19</v>
      </c>
      <c r="D78" s="3" t="s">
        <v>20</v>
      </c>
      <c r="E78" s="3" t="s">
        <v>21</v>
      </c>
      <c r="F78" s="3" t="s">
        <v>22</v>
      </c>
      <c r="G78" s="3" t="s">
        <v>23</v>
      </c>
      <c r="H78" t="s">
        <v>298</v>
      </c>
      <c r="I78" s="5" t="s">
        <v>25</v>
      </c>
      <c r="J78" s="6">
        <v>46014</v>
      </c>
      <c r="K78" t="s">
        <v>377</v>
      </c>
      <c r="L78" t="s">
        <v>18</v>
      </c>
      <c r="M78" t="s">
        <v>27</v>
      </c>
      <c r="N78" t="s">
        <v>378</v>
      </c>
      <c r="O78" t="s">
        <v>18</v>
      </c>
      <c r="P78" t="s">
        <v>379</v>
      </c>
      <c r="Q78" t="s">
        <v>380</v>
      </c>
      <c r="S78" t="s">
        <v>18</v>
      </c>
      <c r="T78" t="s">
        <v>18</v>
      </c>
    </row>
    <row r="79" spans="1:20">
      <c r="A79" s="3" t="str">
        <f t="shared" si="1"/>
        <v>NodeRed-13-000078</v>
      </c>
      <c r="B79" t="s">
        <v>18</v>
      </c>
      <c r="C79" s="3" t="s">
        <v>19</v>
      </c>
      <c r="D79" s="3" t="s">
        <v>20</v>
      </c>
      <c r="E79" s="3" t="s">
        <v>21</v>
      </c>
      <c r="F79" s="3" t="s">
        <v>22</v>
      </c>
      <c r="G79" s="3" t="s">
        <v>23</v>
      </c>
      <c r="H79" t="s">
        <v>381</v>
      </c>
      <c r="I79" s="5" t="s">
        <v>25</v>
      </c>
      <c r="J79" s="6">
        <v>46014</v>
      </c>
      <c r="K79" t="s">
        <v>382</v>
      </c>
      <c r="L79" t="s">
        <v>18</v>
      </c>
      <c r="M79" t="s">
        <v>27</v>
      </c>
      <c r="N79" t="s">
        <v>383</v>
      </c>
      <c r="O79" t="s">
        <v>18</v>
      </c>
      <c r="P79" t="s">
        <v>384</v>
      </c>
      <c r="Q79" t="s">
        <v>385</v>
      </c>
      <c r="S79" t="s">
        <v>18</v>
      </c>
      <c r="T79" t="s">
        <v>18</v>
      </c>
    </row>
    <row r="80" spans="1:20">
      <c r="A80" s="3" t="str">
        <f t="shared" si="1"/>
        <v>NodeRed-13-000079</v>
      </c>
      <c r="B80" t="s">
        <v>18</v>
      </c>
      <c r="C80" s="3" t="s">
        <v>19</v>
      </c>
      <c r="D80" s="3" t="s">
        <v>20</v>
      </c>
      <c r="E80" s="3" t="s">
        <v>21</v>
      </c>
      <c r="F80" s="3" t="s">
        <v>22</v>
      </c>
      <c r="G80" s="3" t="s">
        <v>23</v>
      </c>
      <c r="H80" t="s">
        <v>386</v>
      </c>
      <c r="I80" s="5" t="s">
        <v>25</v>
      </c>
      <c r="J80" s="6">
        <v>46014</v>
      </c>
      <c r="K80" t="s">
        <v>387</v>
      </c>
      <c r="L80" t="s">
        <v>18</v>
      </c>
      <c r="M80" t="s">
        <v>27</v>
      </c>
      <c r="N80" t="s">
        <v>388</v>
      </c>
      <c r="O80" t="s">
        <v>18</v>
      </c>
      <c r="P80" t="s">
        <v>188</v>
      </c>
      <c r="Q80" t="s">
        <v>389</v>
      </c>
      <c r="S80" t="s">
        <v>18</v>
      </c>
      <c r="T80" t="s">
        <v>18</v>
      </c>
    </row>
    <row r="81" spans="1:20">
      <c r="A81" s="3" t="str">
        <f t="shared" si="1"/>
        <v>NodeRed-13-000080</v>
      </c>
      <c r="B81" t="s">
        <v>18</v>
      </c>
      <c r="C81" s="3" t="s">
        <v>19</v>
      </c>
      <c r="D81" s="3" t="s">
        <v>20</v>
      </c>
      <c r="E81" s="3" t="s">
        <v>21</v>
      </c>
      <c r="F81" s="3" t="s">
        <v>22</v>
      </c>
      <c r="G81" s="3" t="s">
        <v>23</v>
      </c>
      <c r="H81" t="s">
        <v>390</v>
      </c>
      <c r="I81" s="5" t="s">
        <v>25</v>
      </c>
      <c r="J81" s="6">
        <v>46014</v>
      </c>
      <c r="K81" t="s">
        <v>391</v>
      </c>
      <c r="L81" t="s">
        <v>18</v>
      </c>
      <c r="M81" t="s">
        <v>27</v>
      </c>
      <c r="N81" t="s">
        <v>392</v>
      </c>
      <c r="O81" t="s">
        <v>18</v>
      </c>
      <c r="P81" t="s">
        <v>393</v>
      </c>
      <c r="Q81" t="s">
        <v>394</v>
      </c>
      <c r="S81" t="s">
        <v>18</v>
      </c>
      <c r="T81" t="s">
        <v>18</v>
      </c>
    </row>
    <row r="82" spans="1:20">
      <c r="A82" s="3" t="str">
        <f t="shared" si="1"/>
        <v>NodeRed-13-000081</v>
      </c>
      <c r="B82" t="s">
        <v>18</v>
      </c>
      <c r="C82" s="3" t="s">
        <v>19</v>
      </c>
      <c r="D82" s="3" t="s">
        <v>20</v>
      </c>
      <c r="E82" s="3" t="s">
        <v>21</v>
      </c>
      <c r="F82" s="3" t="s">
        <v>22</v>
      </c>
      <c r="G82" s="3" t="s">
        <v>23</v>
      </c>
      <c r="H82" t="s">
        <v>395</v>
      </c>
      <c r="I82" s="5" t="s">
        <v>25</v>
      </c>
      <c r="J82" s="6">
        <v>46014</v>
      </c>
      <c r="K82" t="s">
        <v>396</v>
      </c>
      <c r="L82" t="s">
        <v>18</v>
      </c>
      <c r="M82" t="s">
        <v>27</v>
      </c>
      <c r="N82" t="s">
        <v>397</v>
      </c>
      <c r="O82" t="s">
        <v>18</v>
      </c>
      <c r="P82" t="s">
        <v>398</v>
      </c>
      <c r="Q82" t="s">
        <v>399</v>
      </c>
      <c r="S82" t="s">
        <v>18</v>
      </c>
      <c r="T82" t="s">
        <v>18</v>
      </c>
    </row>
    <row r="83" spans="1:20">
      <c r="A83" s="3" t="str">
        <f t="shared" si="1"/>
        <v>NodeRed-13-000082</v>
      </c>
      <c r="B83" t="s">
        <v>18</v>
      </c>
      <c r="C83" s="3" t="s">
        <v>19</v>
      </c>
      <c r="D83" s="3" t="s">
        <v>20</v>
      </c>
      <c r="E83" s="3" t="s">
        <v>21</v>
      </c>
      <c r="F83" s="3" t="s">
        <v>22</v>
      </c>
      <c r="G83" s="3" t="s">
        <v>23</v>
      </c>
      <c r="H83" t="s">
        <v>400</v>
      </c>
      <c r="I83" s="5" t="s">
        <v>25</v>
      </c>
      <c r="J83" s="6">
        <v>46014</v>
      </c>
      <c r="K83" t="s">
        <v>401</v>
      </c>
      <c r="L83" t="s">
        <v>18</v>
      </c>
      <c r="M83" t="s">
        <v>27</v>
      </c>
      <c r="N83" t="s">
        <v>402</v>
      </c>
      <c r="O83" t="s">
        <v>18</v>
      </c>
      <c r="P83" t="s">
        <v>403</v>
      </c>
      <c r="Q83" t="s">
        <v>404</v>
      </c>
      <c r="S83" t="s">
        <v>18</v>
      </c>
      <c r="T83" t="s">
        <v>18</v>
      </c>
    </row>
    <row r="84" spans="1:20">
      <c r="A84" s="3" t="str">
        <f t="shared" si="1"/>
        <v>NodeRed-13-000083</v>
      </c>
      <c r="B84" t="s">
        <v>18</v>
      </c>
      <c r="C84" s="3" t="s">
        <v>19</v>
      </c>
      <c r="D84" s="3" t="s">
        <v>20</v>
      </c>
      <c r="E84" s="3" t="s">
        <v>21</v>
      </c>
      <c r="F84" s="3" t="s">
        <v>22</v>
      </c>
      <c r="G84" s="3" t="s">
        <v>23</v>
      </c>
      <c r="H84" t="s">
        <v>405</v>
      </c>
      <c r="I84" s="5" t="s">
        <v>25</v>
      </c>
      <c r="J84" s="6">
        <v>46014</v>
      </c>
      <c r="K84" t="s">
        <v>406</v>
      </c>
      <c r="L84" t="s">
        <v>18</v>
      </c>
      <c r="M84" t="s">
        <v>27</v>
      </c>
      <c r="N84" t="s">
        <v>407</v>
      </c>
      <c r="O84" t="s">
        <v>18</v>
      </c>
      <c r="P84" t="s">
        <v>408</v>
      </c>
      <c r="Q84" t="s">
        <v>409</v>
      </c>
      <c r="S84" t="s">
        <v>18</v>
      </c>
      <c r="T84" t="s">
        <v>18</v>
      </c>
    </row>
    <row r="85" spans="1:20">
      <c r="A85" s="3" t="str">
        <f t="shared" si="1"/>
        <v>NodeRed-13-000084</v>
      </c>
      <c r="B85" t="s">
        <v>18</v>
      </c>
      <c r="C85" s="3" t="s">
        <v>19</v>
      </c>
      <c r="D85" s="3" t="s">
        <v>20</v>
      </c>
      <c r="E85" s="3" t="s">
        <v>21</v>
      </c>
      <c r="F85" s="3" t="s">
        <v>22</v>
      </c>
      <c r="G85" s="3" t="s">
        <v>23</v>
      </c>
      <c r="H85" t="s">
        <v>410</v>
      </c>
      <c r="I85" s="5" t="s">
        <v>25</v>
      </c>
      <c r="J85" s="6">
        <v>46014</v>
      </c>
      <c r="K85" t="s">
        <v>411</v>
      </c>
      <c r="L85" t="s">
        <v>18</v>
      </c>
      <c r="M85" t="s">
        <v>27</v>
      </c>
      <c r="N85" t="s">
        <v>412</v>
      </c>
      <c r="O85" t="s">
        <v>18</v>
      </c>
      <c r="P85" t="s">
        <v>413</v>
      </c>
      <c r="Q85" t="s">
        <v>414</v>
      </c>
      <c r="S85" t="s">
        <v>18</v>
      </c>
      <c r="T85" t="s">
        <v>18</v>
      </c>
    </row>
  </sheetData>
  <sheetProtection formatCells="0" insertHyperlinks="0" autoFilter="0"/>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0"/>
  <sheetViews>
    <sheetView zoomScale="140" zoomScaleNormal="140" workbookViewId="0">
      <selection activeCell="O5" sqref="A5:O5"/>
    </sheetView>
  </sheetViews>
  <sheetFormatPr defaultColWidth="9" defaultRowHeight="14.25"/>
  <cols>
    <col min="1" max="1" width="27.6" customWidth="1"/>
    <col min="3" max="3" width="38.5333333333333" customWidth="1"/>
    <col min="4" max="4" width="11.5333333333333" customWidth="1"/>
    <col min="11" max="11" width="12.7333333333333" customWidth="1"/>
  </cols>
  <sheetData>
    <row r="1" spans="1:12">
      <c r="A1" t="s">
        <v>415</v>
      </c>
      <c r="B1" t="s">
        <v>416</v>
      </c>
      <c r="C1" t="s">
        <v>417</v>
      </c>
      <c r="D1" t="s">
        <v>418</v>
      </c>
      <c r="E1" t="s">
        <v>419</v>
      </c>
      <c r="F1" t="s">
        <v>420</v>
      </c>
      <c r="G1" t="s">
        <v>421</v>
      </c>
      <c r="H1" t="s">
        <v>422</v>
      </c>
      <c r="I1" t="s">
        <v>423</v>
      </c>
      <c r="J1" t="s">
        <v>424</v>
      </c>
      <c r="K1" t="s">
        <v>425</v>
      </c>
      <c r="L1" t="s">
        <v>426</v>
      </c>
    </row>
    <row r="2" spans="1:12">
      <c r="A2" t="s">
        <v>427</v>
      </c>
      <c r="B2" t="s">
        <v>428</v>
      </c>
      <c r="C2" t="s">
        <v>429</v>
      </c>
      <c r="D2" t="s">
        <v>430</v>
      </c>
      <c r="E2" t="s">
        <v>431</v>
      </c>
      <c r="F2" t="s">
        <v>432</v>
      </c>
      <c r="G2" t="s">
        <v>433</v>
      </c>
      <c r="H2" t="s">
        <v>434</v>
      </c>
      <c r="I2" t="s">
        <v>435</v>
      </c>
      <c r="J2" t="s">
        <v>436</v>
      </c>
      <c r="K2" t="s">
        <v>432</v>
      </c>
      <c r="L2" t="s">
        <v>437</v>
      </c>
    </row>
    <row r="40" spans="10:10">
      <c r="J40" s="1"/>
    </row>
  </sheetData>
  <sheetProtection formatCells="0" insertHyperlinks="0" autoFilter="0"/>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WWO_wpscloud_20230718170107-99701b6a8c</Application>
  <HeadingPairs>
    <vt:vector size="2" baseType="variant">
      <vt:variant>
        <vt:lpstr>工作表</vt:lpstr>
      </vt:variant>
      <vt:variant>
        <vt:i4>2</vt:i4>
      </vt:variant>
    </vt:vector>
  </HeadingPairs>
  <TitlesOfParts>
    <vt:vector size="2" baseType="lpstr">
      <vt:lpstr>汇总表</vt:lpstr>
      <vt:lpstr>全文字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myspring</dc:creator>
  <cp:lastModifiedBy>Jerry Hike</cp:lastModifiedBy>
  <dcterms:created xsi:type="dcterms:W3CDTF">2015-06-07T02:19:00Z</dcterms:created>
  <dcterms:modified xsi:type="dcterms:W3CDTF">2026-01-24T01:58:00Z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